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ishma\Documents\Imarticus Learning\Blog\Budget blueprint\"/>
    </mc:Choice>
  </mc:AlternateContent>
  <xr:revisionPtr revIDLastSave="0" documentId="8_{43911CB4-601C-43D5-AC67-8BB53BFDA519}" xr6:coauthVersionLast="47" xr6:coauthVersionMax="47" xr10:uidLastSave="{00000000-0000-0000-0000-000000000000}"/>
  <bookViews>
    <workbookView xWindow="-108" yWindow="-108" windowWidth="23256" windowHeight="12456" xr2:uid="{0F802EAF-B36C-4518-92BF-762C2094789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94" i="1" l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U66" i="1"/>
  <c r="N66" i="1"/>
  <c r="W65" i="1"/>
  <c r="O65" i="1"/>
  <c r="T62" i="1"/>
  <c r="T70" i="1" s="1"/>
  <c r="M62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B58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B57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B56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B55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M70" i="1" s="1"/>
  <c r="L54" i="1"/>
  <c r="K54" i="1"/>
  <c r="J54" i="1"/>
  <c r="I54" i="1"/>
  <c r="H54" i="1"/>
  <c r="G54" i="1"/>
  <c r="F54" i="1"/>
  <c r="E54" i="1"/>
  <c r="D54" i="1"/>
  <c r="C54" i="1"/>
  <c r="B54" i="1"/>
  <c r="J47" i="1"/>
  <c r="B47" i="1"/>
  <c r="I46" i="1"/>
  <c r="J45" i="1"/>
  <c r="I45" i="1"/>
  <c r="B45" i="1"/>
  <c r="I44" i="1"/>
  <c r="J43" i="1"/>
  <c r="I43" i="1"/>
  <c r="B43" i="1"/>
  <c r="Z39" i="1"/>
  <c r="U39" i="1"/>
  <c r="T39" i="1"/>
  <c r="S39" i="1"/>
  <c r="R39" i="1"/>
  <c r="R48" i="1" s="1"/>
  <c r="Q39" i="1"/>
  <c r="P39" i="1"/>
  <c r="O39" i="1"/>
  <c r="N39" i="1"/>
  <c r="M39" i="1"/>
  <c r="L39" i="1"/>
  <c r="K39" i="1"/>
  <c r="J39" i="1"/>
  <c r="J48" i="1" s="1"/>
  <c r="I39" i="1"/>
  <c r="H39" i="1"/>
  <c r="G39" i="1"/>
  <c r="F39" i="1"/>
  <c r="E39" i="1"/>
  <c r="D39" i="1"/>
  <c r="C39" i="1"/>
  <c r="B39" i="1"/>
  <c r="B48" i="1" s="1"/>
  <c r="Z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Z37" i="1"/>
  <c r="U37" i="1"/>
  <c r="T37" i="1"/>
  <c r="S37" i="1"/>
  <c r="R37" i="1"/>
  <c r="Q37" i="1"/>
  <c r="P37" i="1"/>
  <c r="O37" i="1"/>
  <c r="N37" i="1"/>
  <c r="M37" i="1"/>
  <c r="L37" i="1"/>
  <c r="K37" i="1"/>
  <c r="J37" i="1"/>
  <c r="J46" i="1" s="1"/>
  <c r="I37" i="1"/>
  <c r="H37" i="1"/>
  <c r="G37" i="1"/>
  <c r="F37" i="1"/>
  <c r="E37" i="1"/>
  <c r="D37" i="1"/>
  <c r="C37" i="1"/>
  <c r="B37" i="1"/>
  <c r="B46" i="1" s="1"/>
  <c r="Z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Z35" i="1"/>
  <c r="U35" i="1"/>
  <c r="T35" i="1"/>
  <c r="S35" i="1"/>
  <c r="R35" i="1"/>
  <c r="Q35" i="1"/>
  <c r="P35" i="1"/>
  <c r="O35" i="1"/>
  <c r="N35" i="1"/>
  <c r="M35" i="1"/>
  <c r="L35" i="1"/>
  <c r="K35" i="1"/>
  <c r="J35" i="1"/>
  <c r="J44" i="1" s="1"/>
  <c r="I35" i="1"/>
  <c r="H35" i="1"/>
  <c r="G35" i="1"/>
  <c r="F35" i="1"/>
  <c r="E35" i="1"/>
  <c r="D35" i="1"/>
  <c r="C35" i="1"/>
  <c r="B35" i="1"/>
  <c r="B44" i="1" s="1"/>
  <c r="Z34" i="1"/>
  <c r="W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Y30" i="1"/>
  <c r="X30" i="1"/>
  <c r="W30" i="1"/>
  <c r="V30" i="1"/>
  <c r="U30" i="1"/>
  <c r="U48" i="1" s="1"/>
  <c r="T30" i="1"/>
  <c r="T48" i="1" s="1"/>
  <c r="S30" i="1"/>
  <c r="R30" i="1"/>
  <c r="Q30" i="1"/>
  <c r="Q48" i="1" s="1"/>
  <c r="P30" i="1"/>
  <c r="P48" i="1" s="1"/>
  <c r="O30" i="1"/>
  <c r="N30" i="1"/>
  <c r="N48" i="1" s="1"/>
  <c r="M30" i="1"/>
  <c r="M48" i="1" s="1"/>
  <c r="L30" i="1"/>
  <c r="L48" i="1" s="1"/>
  <c r="K30" i="1"/>
  <c r="J30" i="1"/>
  <c r="I30" i="1"/>
  <c r="I48" i="1" s="1"/>
  <c r="H30" i="1"/>
  <c r="H48" i="1" s="1"/>
  <c r="G30" i="1"/>
  <c r="F30" i="1"/>
  <c r="F48" i="1" s="1"/>
  <c r="E30" i="1"/>
  <c r="E48" i="1" s="1"/>
  <c r="D30" i="1"/>
  <c r="D48" i="1" s="1"/>
  <c r="C30" i="1"/>
  <c r="B30" i="1"/>
  <c r="Y29" i="1"/>
  <c r="X29" i="1"/>
  <c r="W29" i="1"/>
  <c r="V29" i="1"/>
  <c r="U29" i="1"/>
  <c r="U47" i="1" s="1"/>
  <c r="T29" i="1"/>
  <c r="S29" i="1"/>
  <c r="R29" i="1"/>
  <c r="R47" i="1" s="1"/>
  <c r="Q29" i="1"/>
  <c r="Q47" i="1" s="1"/>
  <c r="P29" i="1"/>
  <c r="P47" i="1" s="1"/>
  <c r="O29" i="1"/>
  <c r="N29" i="1"/>
  <c r="M29" i="1"/>
  <c r="M47" i="1" s="1"/>
  <c r="L29" i="1"/>
  <c r="K29" i="1"/>
  <c r="J29" i="1"/>
  <c r="I29" i="1"/>
  <c r="I47" i="1" s="1"/>
  <c r="H29" i="1"/>
  <c r="H47" i="1" s="1"/>
  <c r="G29" i="1"/>
  <c r="F29" i="1"/>
  <c r="E29" i="1"/>
  <c r="E47" i="1" s="1"/>
  <c r="D29" i="1"/>
  <c r="C29" i="1"/>
  <c r="B29" i="1"/>
  <c r="Y28" i="1"/>
  <c r="X28" i="1"/>
  <c r="W28" i="1"/>
  <c r="V28" i="1"/>
  <c r="U28" i="1"/>
  <c r="T28" i="1"/>
  <c r="S28" i="1"/>
  <c r="S46" i="1" s="1"/>
  <c r="R28" i="1"/>
  <c r="R46" i="1" s="1"/>
  <c r="Q28" i="1"/>
  <c r="Q46" i="1" s="1"/>
  <c r="P28" i="1"/>
  <c r="P46" i="1" s="1"/>
  <c r="O28" i="1"/>
  <c r="O46" i="1" s="1"/>
  <c r="N28" i="1"/>
  <c r="N46" i="1" s="1"/>
  <c r="M28" i="1"/>
  <c r="L28" i="1"/>
  <c r="K28" i="1"/>
  <c r="K46" i="1" s="1"/>
  <c r="J28" i="1"/>
  <c r="I28" i="1"/>
  <c r="H28" i="1"/>
  <c r="H46" i="1" s="1"/>
  <c r="G28" i="1"/>
  <c r="G46" i="1" s="1"/>
  <c r="F28" i="1"/>
  <c r="F46" i="1" s="1"/>
  <c r="E28" i="1"/>
  <c r="D28" i="1"/>
  <c r="C28" i="1"/>
  <c r="C46" i="1" s="1"/>
  <c r="B28" i="1"/>
  <c r="Y27" i="1"/>
  <c r="X27" i="1"/>
  <c r="W27" i="1"/>
  <c r="V27" i="1"/>
  <c r="U27" i="1"/>
  <c r="U45" i="1" s="1"/>
  <c r="T27" i="1"/>
  <c r="S27" i="1"/>
  <c r="S45" i="1" s="1"/>
  <c r="R27" i="1"/>
  <c r="R45" i="1" s="1"/>
  <c r="Q27" i="1"/>
  <c r="Q45" i="1" s="1"/>
  <c r="P27" i="1"/>
  <c r="P45" i="1" s="1"/>
  <c r="O27" i="1"/>
  <c r="O45" i="1" s="1"/>
  <c r="N27" i="1"/>
  <c r="N45" i="1" s="1"/>
  <c r="M27" i="1"/>
  <c r="M45" i="1" s="1"/>
  <c r="L27" i="1"/>
  <c r="K27" i="1"/>
  <c r="K45" i="1" s="1"/>
  <c r="J27" i="1"/>
  <c r="I27" i="1"/>
  <c r="H27" i="1"/>
  <c r="H45" i="1" s="1"/>
  <c r="G27" i="1"/>
  <c r="G45" i="1" s="1"/>
  <c r="F27" i="1"/>
  <c r="F45" i="1" s="1"/>
  <c r="E27" i="1"/>
  <c r="E45" i="1" s="1"/>
  <c r="D27" i="1"/>
  <c r="C27" i="1"/>
  <c r="C45" i="1" s="1"/>
  <c r="B27" i="1"/>
  <c r="Y26" i="1"/>
  <c r="X26" i="1"/>
  <c r="W26" i="1"/>
  <c r="V26" i="1"/>
  <c r="U26" i="1"/>
  <c r="U44" i="1" s="1"/>
  <c r="T26" i="1"/>
  <c r="T44" i="1" s="1"/>
  <c r="S26" i="1"/>
  <c r="S44" i="1" s="1"/>
  <c r="R26" i="1"/>
  <c r="R44" i="1" s="1"/>
  <c r="Q26" i="1"/>
  <c r="Q44" i="1" s="1"/>
  <c r="P26" i="1"/>
  <c r="P44" i="1" s="1"/>
  <c r="O26" i="1"/>
  <c r="O44" i="1" s="1"/>
  <c r="N26" i="1"/>
  <c r="N44" i="1" s="1"/>
  <c r="M26" i="1"/>
  <c r="M44" i="1" s="1"/>
  <c r="L26" i="1"/>
  <c r="L44" i="1" s="1"/>
  <c r="K26" i="1"/>
  <c r="K44" i="1" s="1"/>
  <c r="J26" i="1"/>
  <c r="I26" i="1"/>
  <c r="H26" i="1"/>
  <c r="H44" i="1" s="1"/>
  <c r="G26" i="1"/>
  <c r="G44" i="1" s="1"/>
  <c r="F26" i="1"/>
  <c r="F44" i="1" s="1"/>
  <c r="E26" i="1"/>
  <c r="E44" i="1" s="1"/>
  <c r="D26" i="1"/>
  <c r="D44" i="1" s="1"/>
  <c r="C26" i="1"/>
  <c r="C44" i="1" s="1"/>
  <c r="B26" i="1"/>
  <c r="Y25" i="1"/>
  <c r="X25" i="1"/>
  <c r="W25" i="1"/>
  <c r="V25" i="1"/>
  <c r="U25" i="1"/>
  <c r="U43" i="1" s="1"/>
  <c r="T25" i="1"/>
  <c r="T43" i="1" s="1"/>
  <c r="S25" i="1"/>
  <c r="S43" i="1" s="1"/>
  <c r="R25" i="1"/>
  <c r="R43" i="1" s="1"/>
  <c r="Q25" i="1"/>
  <c r="Q43" i="1" s="1"/>
  <c r="P25" i="1"/>
  <c r="P43" i="1" s="1"/>
  <c r="O25" i="1"/>
  <c r="O43" i="1" s="1"/>
  <c r="N25" i="1"/>
  <c r="N43" i="1" s="1"/>
  <c r="M25" i="1"/>
  <c r="M43" i="1" s="1"/>
  <c r="L25" i="1"/>
  <c r="L43" i="1" s="1"/>
  <c r="K25" i="1"/>
  <c r="K43" i="1" s="1"/>
  <c r="J25" i="1"/>
  <c r="I25" i="1"/>
  <c r="H25" i="1"/>
  <c r="H43" i="1" s="1"/>
  <c r="G25" i="1"/>
  <c r="G43" i="1" s="1"/>
  <c r="F25" i="1"/>
  <c r="F43" i="1" s="1"/>
  <c r="E25" i="1"/>
  <c r="E43" i="1" s="1"/>
  <c r="D25" i="1"/>
  <c r="D43" i="1" s="1"/>
  <c r="C25" i="1"/>
  <c r="C43" i="1" s="1"/>
  <c r="B25" i="1"/>
  <c r="Y20" i="1"/>
  <c r="Y39" i="1" s="1"/>
  <c r="Y48" i="1" s="1"/>
  <c r="X20" i="1"/>
  <c r="X39" i="1" s="1"/>
  <c r="W20" i="1"/>
  <c r="W39" i="1" s="1"/>
  <c r="V20" i="1"/>
  <c r="V34" i="1" s="1"/>
  <c r="AA19" i="1"/>
  <c r="AA18" i="1"/>
  <c r="AA17" i="1"/>
  <c r="E66" i="1" s="1"/>
  <c r="AA16" i="1"/>
  <c r="U65" i="1" s="1"/>
  <c r="AA15" i="1"/>
  <c r="W64" i="1" s="1"/>
  <c r="AA14" i="1"/>
  <c r="Y63" i="1" s="1"/>
  <c r="AA13" i="1"/>
  <c r="AA62" i="1" s="1"/>
  <c r="F47" i="1" l="1"/>
  <c r="N47" i="1"/>
  <c r="W43" i="1"/>
  <c r="G47" i="1"/>
  <c r="O47" i="1"/>
  <c r="G48" i="1"/>
  <c r="O48" i="1"/>
  <c r="N62" i="1"/>
  <c r="V65" i="1"/>
  <c r="V73" i="1" s="1"/>
  <c r="T66" i="1"/>
  <c r="E70" i="1"/>
  <c r="N70" i="1"/>
  <c r="U62" i="1"/>
  <c r="U70" i="1" s="1"/>
  <c r="D66" i="1"/>
  <c r="D74" i="1" s="1"/>
  <c r="V66" i="1"/>
  <c r="V74" i="1" s="1"/>
  <c r="V37" i="1"/>
  <c r="V46" i="1" s="1"/>
  <c r="C48" i="1"/>
  <c r="K48" i="1"/>
  <c r="S48" i="1"/>
  <c r="D62" i="1"/>
  <c r="D70" i="1" s="1"/>
  <c r="V62" i="1"/>
  <c r="V70" i="1" s="1"/>
  <c r="AA94" i="1"/>
  <c r="V36" i="1"/>
  <c r="V45" i="1" s="1"/>
  <c r="T74" i="1"/>
  <c r="E62" i="1"/>
  <c r="F65" i="1"/>
  <c r="F73" i="1" s="1"/>
  <c r="F66" i="1"/>
  <c r="D45" i="1"/>
  <c r="L45" i="1"/>
  <c r="T45" i="1"/>
  <c r="D46" i="1"/>
  <c r="L46" i="1"/>
  <c r="T46" i="1"/>
  <c r="D47" i="1"/>
  <c r="L47" i="1"/>
  <c r="T47" i="1"/>
  <c r="V35" i="1"/>
  <c r="V44" i="1" s="1"/>
  <c r="W36" i="1"/>
  <c r="W45" i="1" s="1"/>
  <c r="N73" i="1"/>
  <c r="E74" i="1"/>
  <c r="U74" i="1"/>
  <c r="F62" i="1"/>
  <c r="F70" i="1" s="1"/>
  <c r="G65" i="1"/>
  <c r="G73" i="1" s="1"/>
  <c r="L66" i="1"/>
  <c r="L74" i="1" s="1"/>
  <c r="E46" i="1"/>
  <c r="M46" i="1"/>
  <c r="U46" i="1"/>
  <c r="W35" i="1"/>
  <c r="W44" i="1" s="1"/>
  <c r="C47" i="1"/>
  <c r="K47" i="1"/>
  <c r="S47" i="1"/>
  <c r="Y71" i="1"/>
  <c r="O73" i="1"/>
  <c r="W73" i="1"/>
  <c r="F74" i="1"/>
  <c r="N74" i="1"/>
  <c r="L62" i="1"/>
  <c r="L70" i="1" s="1"/>
  <c r="N65" i="1"/>
  <c r="M66" i="1"/>
  <c r="M74" i="1" s="1"/>
  <c r="W48" i="1"/>
  <c r="I73" i="1"/>
  <c r="X74" i="1"/>
  <c r="V43" i="1"/>
  <c r="Q72" i="1"/>
  <c r="X48" i="1"/>
  <c r="R74" i="1"/>
  <c r="E72" i="1"/>
  <c r="U72" i="1"/>
  <c r="F72" i="1"/>
  <c r="U73" i="1"/>
  <c r="W72" i="1"/>
  <c r="I71" i="1"/>
  <c r="B63" i="1"/>
  <c r="B71" i="1" s="1"/>
  <c r="J63" i="1"/>
  <c r="J71" i="1" s="1"/>
  <c r="R63" i="1"/>
  <c r="R71" i="1" s="1"/>
  <c r="Z63" i="1"/>
  <c r="H64" i="1"/>
  <c r="H72" i="1" s="1"/>
  <c r="P64" i="1"/>
  <c r="P72" i="1" s="1"/>
  <c r="X64" i="1"/>
  <c r="X72" i="1" s="1"/>
  <c r="C63" i="1"/>
  <c r="C71" i="1" s="1"/>
  <c r="X35" i="1"/>
  <c r="X44" i="1" s="1"/>
  <c r="D63" i="1"/>
  <c r="D71" i="1" s="1"/>
  <c r="L63" i="1"/>
  <c r="L71" i="1" s="1"/>
  <c r="B64" i="1"/>
  <c r="B72" i="1" s="1"/>
  <c r="J64" i="1"/>
  <c r="J72" i="1" s="1"/>
  <c r="R64" i="1"/>
  <c r="R72" i="1" s="1"/>
  <c r="Z64" i="1"/>
  <c r="H65" i="1"/>
  <c r="H73" i="1" s="1"/>
  <c r="P65" i="1"/>
  <c r="P73" i="1" s="1"/>
  <c r="Y34" i="1"/>
  <c r="Y43" i="1" s="1"/>
  <c r="Y35" i="1"/>
  <c r="Y44" i="1" s="1"/>
  <c r="X36" i="1"/>
  <c r="X45" i="1" s="1"/>
  <c r="W37" i="1"/>
  <c r="W46" i="1" s="1"/>
  <c r="V38" i="1"/>
  <c r="V47" i="1" s="1"/>
  <c r="G62" i="1"/>
  <c r="G70" i="1" s="1"/>
  <c r="O62" i="1"/>
  <c r="O70" i="1" s="1"/>
  <c r="W62" i="1"/>
  <c r="W70" i="1" s="1"/>
  <c r="E63" i="1"/>
  <c r="E71" i="1" s="1"/>
  <c r="M63" i="1"/>
  <c r="M71" i="1" s="1"/>
  <c r="U63" i="1"/>
  <c r="U71" i="1" s="1"/>
  <c r="C64" i="1"/>
  <c r="C72" i="1" s="1"/>
  <c r="K64" i="1"/>
  <c r="K72" i="1" s="1"/>
  <c r="S64" i="1"/>
  <c r="S72" i="1" s="1"/>
  <c r="AA64" i="1"/>
  <c r="I65" i="1"/>
  <c r="Q65" i="1"/>
  <c r="Q73" i="1" s="1"/>
  <c r="Y65" i="1"/>
  <c r="Y73" i="1" s="1"/>
  <c r="G66" i="1"/>
  <c r="G74" i="1" s="1"/>
  <c r="O66" i="1"/>
  <c r="O74" i="1" s="1"/>
  <c r="W66" i="1"/>
  <c r="W74" i="1" s="1"/>
  <c r="K63" i="1"/>
  <c r="K71" i="1" s="1"/>
  <c r="Y64" i="1"/>
  <c r="Y72" i="1" s="1"/>
  <c r="AA20" i="1"/>
  <c r="Y36" i="1"/>
  <c r="Y45" i="1" s="1"/>
  <c r="X37" i="1"/>
  <c r="X46" i="1" s="1"/>
  <c r="W38" i="1"/>
  <c r="W47" i="1" s="1"/>
  <c r="V39" i="1"/>
  <c r="V48" i="1" s="1"/>
  <c r="H62" i="1"/>
  <c r="H70" i="1" s="1"/>
  <c r="P62" i="1"/>
  <c r="P70" i="1" s="1"/>
  <c r="X62" i="1"/>
  <c r="X70" i="1" s="1"/>
  <c r="F63" i="1"/>
  <c r="F71" i="1" s="1"/>
  <c r="N63" i="1"/>
  <c r="N71" i="1" s="1"/>
  <c r="V63" i="1"/>
  <c r="V71" i="1" s="1"/>
  <c r="D64" i="1"/>
  <c r="D72" i="1" s="1"/>
  <c r="L64" i="1"/>
  <c r="L72" i="1" s="1"/>
  <c r="T64" i="1"/>
  <c r="T72" i="1" s="1"/>
  <c r="B65" i="1"/>
  <c r="B73" i="1" s="1"/>
  <c r="J65" i="1"/>
  <c r="J73" i="1" s="1"/>
  <c r="R65" i="1"/>
  <c r="R73" i="1" s="1"/>
  <c r="Z65" i="1"/>
  <c r="H66" i="1"/>
  <c r="H74" i="1" s="1"/>
  <c r="P66" i="1"/>
  <c r="P74" i="1" s="1"/>
  <c r="X66" i="1"/>
  <c r="AA91" i="1"/>
  <c r="X34" i="1"/>
  <c r="X43" i="1" s="1"/>
  <c r="Q64" i="1"/>
  <c r="Y37" i="1"/>
  <c r="Y46" i="1" s="1"/>
  <c r="X38" i="1"/>
  <c r="X47" i="1" s="1"/>
  <c r="I62" i="1"/>
  <c r="I70" i="1" s="1"/>
  <c r="Q62" i="1"/>
  <c r="Q70" i="1" s="1"/>
  <c r="Y62" i="1"/>
  <c r="Y70" i="1" s="1"/>
  <c r="G63" i="1"/>
  <c r="G71" i="1" s="1"/>
  <c r="O63" i="1"/>
  <c r="O71" i="1" s="1"/>
  <c r="W63" i="1"/>
  <c r="W71" i="1" s="1"/>
  <c r="E64" i="1"/>
  <c r="M64" i="1"/>
  <c r="M72" i="1" s="1"/>
  <c r="U64" i="1"/>
  <c r="C65" i="1"/>
  <c r="C73" i="1" s="1"/>
  <c r="K65" i="1"/>
  <c r="K73" i="1" s="1"/>
  <c r="S65" i="1"/>
  <c r="S73" i="1" s="1"/>
  <c r="AA65" i="1"/>
  <c r="I66" i="1"/>
  <c r="I74" i="1" s="1"/>
  <c r="Q66" i="1"/>
  <c r="Q74" i="1" s="1"/>
  <c r="Y66" i="1"/>
  <c r="Y74" i="1" s="1"/>
  <c r="AA92" i="1"/>
  <c r="S63" i="1"/>
  <c r="S71" i="1" s="1"/>
  <c r="I64" i="1"/>
  <c r="I72" i="1" s="1"/>
  <c r="X65" i="1"/>
  <c r="X73" i="1" s="1"/>
  <c r="Y38" i="1"/>
  <c r="Y47" i="1" s="1"/>
  <c r="B62" i="1"/>
  <c r="B70" i="1" s="1"/>
  <c r="J62" i="1"/>
  <c r="J70" i="1" s="1"/>
  <c r="R62" i="1"/>
  <c r="R70" i="1" s="1"/>
  <c r="Z62" i="1"/>
  <c r="H63" i="1"/>
  <c r="H71" i="1" s="1"/>
  <c r="P63" i="1"/>
  <c r="P71" i="1" s="1"/>
  <c r="X63" i="1"/>
  <c r="X71" i="1" s="1"/>
  <c r="F64" i="1"/>
  <c r="N64" i="1"/>
  <c r="N72" i="1" s="1"/>
  <c r="V64" i="1"/>
  <c r="V72" i="1" s="1"/>
  <c r="D65" i="1"/>
  <c r="D73" i="1" s="1"/>
  <c r="L65" i="1"/>
  <c r="L73" i="1" s="1"/>
  <c r="T65" i="1"/>
  <c r="T73" i="1" s="1"/>
  <c r="B66" i="1"/>
  <c r="B74" i="1" s="1"/>
  <c r="J66" i="1"/>
  <c r="J74" i="1" s="1"/>
  <c r="R66" i="1"/>
  <c r="Z66" i="1"/>
  <c r="AA93" i="1"/>
  <c r="AA63" i="1"/>
  <c r="T63" i="1"/>
  <c r="T71" i="1" s="1"/>
  <c r="C62" i="1"/>
  <c r="C70" i="1" s="1"/>
  <c r="K62" i="1"/>
  <c r="K70" i="1" s="1"/>
  <c r="S62" i="1"/>
  <c r="S70" i="1" s="1"/>
  <c r="I63" i="1"/>
  <c r="Q63" i="1"/>
  <c r="Q71" i="1" s="1"/>
  <c r="G64" i="1"/>
  <c r="G72" i="1" s="1"/>
  <c r="O64" i="1"/>
  <c r="O72" i="1" s="1"/>
  <c r="E65" i="1"/>
  <c r="E73" i="1" s="1"/>
  <c r="M65" i="1"/>
  <c r="M73" i="1" s="1"/>
  <c r="C66" i="1"/>
  <c r="C74" i="1" s="1"/>
  <c r="K66" i="1"/>
  <c r="K74" i="1" s="1"/>
  <c r="S66" i="1"/>
  <c r="S74" i="1" s="1"/>
  <c r="AA66" i="1"/>
</calcChain>
</file>

<file path=xl/sharedStrings.xml><?xml version="1.0" encoding="utf-8"?>
<sst xmlns="http://schemas.openxmlformats.org/spreadsheetml/2006/main" count="345" uniqueCount="55">
  <si>
    <t>Actuals</t>
  </si>
  <si>
    <t>Year</t>
  </si>
  <si>
    <t>Pension</t>
  </si>
  <si>
    <t>Defence</t>
  </si>
  <si>
    <t>Subsidy</t>
  </si>
  <si>
    <t>Agriculture_and_Allied_Activities</t>
  </si>
  <si>
    <t>Commerce_and_Industry</t>
  </si>
  <si>
    <t>Development_of_North_East</t>
  </si>
  <si>
    <t>Education</t>
  </si>
  <si>
    <t>Energy</t>
  </si>
  <si>
    <t>External_Affairs</t>
  </si>
  <si>
    <t>Finance</t>
  </si>
  <si>
    <t>Health</t>
  </si>
  <si>
    <t>Home_Affairs</t>
  </si>
  <si>
    <t>Interest</t>
  </si>
  <si>
    <t>IT_and_Telecom</t>
  </si>
  <si>
    <t>Others</t>
  </si>
  <si>
    <t>Planning_and_Statistics</t>
  </si>
  <si>
    <t>Rural_Development</t>
  </si>
  <si>
    <t>Scientific_Departments</t>
  </si>
  <si>
    <t>Social_Welfare</t>
  </si>
  <si>
    <t>Tax_Administration</t>
  </si>
  <si>
    <t>Transfer_to_States</t>
  </si>
  <si>
    <t>Transport</t>
  </si>
  <si>
    <t>Union_Territories</t>
  </si>
  <si>
    <t>Urban_Development</t>
  </si>
  <si>
    <t>Grand_Total</t>
  </si>
  <si>
    <t>Fiscal deficit</t>
  </si>
  <si>
    <t>% of GDP</t>
  </si>
  <si>
    <r>
      <t>Government Borrowing and Debt</t>
    </r>
    <r>
      <rPr>
        <sz val="11"/>
        <color theme="1"/>
        <rFont val="Calibri"/>
        <family val="2"/>
        <scheme val="minor"/>
      </rPr>
      <t>:</t>
    </r>
  </si>
  <si>
    <t>2019-2020</t>
  </si>
  <si>
    <t>2020-2021</t>
  </si>
  <si>
    <r>
      <t xml:space="preserve">A high fiscal deficit as a percentage of GDP means the government is borrowing a </t>
    </r>
    <r>
      <rPr>
        <b/>
        <sz val="11"/>
        <color theme="1"/>
        <rFont val="Calibri"/>
        <family val="2"/>
        <scheme val="minor"/>
      </rPr>
      <t>larger portion</t>
    </r>
    <r>
      <rPr>
        <sz val="11"/>
        <color theme="1"/>
        <rFont val="Calibri"/>
        <family val="2"/>
        <scheme val="minor"/>
      </rPr>
      <t xml:space="preserve"> of its economic output. This could increase national debt levels.</t>
    </r>
  </si>
  <si>
    <t>2021-2022</t>
  </si>
  <si>
    <r>
      <t xml:space="preserve">It shows the </t>
    </r>
    <r>
      <rPr>
        <b/>
        <sz val="11"/>
        <color theme="1"/>
        <rFont val="Calibri"/>
        <family val="2"/>
        <scheme val="minor"/>
      </rPr>
      <t>sustainability of government borrowing</t>
    </r>
    <r>
      <rPr>
        <sz val="11"/>
        <color theme="1"/>
        <rFont val="Calibri"/>
        <family val="2"/>
        <scheme val="minor"/>
      </rPr>
      <t>. If this ratio is high, it could indicate that the government is heavily dependent on borrowing, which might not be sustainable in the long run.</t>
    </r>
  </si>
  <si>
    <t>2022-2023</t>
  </si>
  <si>
    <t>2023-2024</t>
  </si>
  <si>
    <r>
      <t>Fiscal Health</t>
    </r>
    <r>
      <rPr>
        <sz val="11"/>
        <color theme="1"/>
        <rFont val="Calibri"/>
        <family val="2"/>
        <scheme val="minor"/>
      </rPr>
      <t>:</t>
    </r>
  </si>
  <si>
    <t>Grand Total</t>
  </si>
  <si>
    <r>
      <t xml:space="preserve">A </t>
    </r>
    <r>
      <rPr>
        <b/>
        <sz val="11"/>
        <color theme="1"/>
        <rFont val="Calibri"/>
        <family val="2"/>
        <scheme val="minor"/>
      </rPr>
      <t>lower percentage</t>
    </r>
    <r>
      <rPr>
        <sz val="11"/>
        <color theme="1"/>
        <rFont val="Calibri"/>
        <family val="2"/>
        <scheme val="minor"/>
      </rPr>
      <t xml:space="preserve"> suggests that the government is keeping its spending in check relative to the economy's total size. It is more likely to be </t>
    </r>
    <r>
      <rPr>
        <b/>
        <sz val="11"/>
        <color theme="1"/>
        <rFont val="Calibri"/>
        <family val="2"/>
        <scheme val="minor"/>
      </rPr>
      <t>financially stable</t>
    </r>
    <r>
      <rPr>
        <sz val="11"/>
        <color theme="1"/>
        <rFont val="Calibri"/>
        <family val="2"/>
        <scheme val="minor"/>
      </rPr>
      <t xml:space="preserve"> and less reliant on external debt.</t>
    </r>
  </si>
  <si>
    <r>
      <t xml:space="preserve">A </t>
    </r>
    <r>
      <rPr>
        <b/>
        <sz val="11"/>
        <color theme="1"/>
        <rFont val="Calibri"/>
        <family val="2"/>
        <scheme val="minor"/>
      </rPr>
      <t>higher percentage</t>
    </r>
    <r>
      <rPr>
        <sz val="11"/>
        <color theme="1"/>
        <rFont val="Calibri"/>
        <family val="2"/>
        <scheme val="minor"/>
      </rPr>
      <t xml:space="preserve"> could indicate fiscal </t>
    </r>
    <r>
      <rPr>
        <b/>
        <sz val="11"/>
        <color theme="1"/>
        <rFont val="Calibri"/>
        <family val="2"/>
        <scheme val="minor"/>
      </rPr>
      <t>imbalances</t>
    </r>
    <r>
      <rPr>
        <sz val="11"/>
        <color theme="1"/>
        <rFont val="Calibri"/>
        <family val="2"/>
        <scheme val="minor"/>
      </rPr>
      <t>, signaling that the government is overspending relative to its revenue, leading to a higher reliance on debt financing.</t>
    </r>
  </si>
  <si>
    <t>Estimates</t>
  </si>
  <si>
    <t>Reserve</t>
  </si>
  <si>
    <r>
      <t>2% - 3% of GDP</t>
    </r>
    <r>
      <rPr>
        <sz val="11"/>
        <color theme="1"/>
        <rFont val="Calibri"/>
        <family val="2"/>
        <scheme val="minor"/>
      </rPr>
      <t>: Many developed economies aim for a fiscal deficit in the range of 2% to 3% of GDP, which is typically seen as manageable and consistent with stable economic growth.</t>
    </r>
  </si>
  <si>
    <r>
      <t>Fiscal Deficit = 5% of GDP</t>
    </r>
    <r>
      <rPr>
        <sz val="11"/>
        <color theme="1"/>
        <rFont val="Calibri"/>
        <family val="2"/>
        <scheme val="minor"/>
      </rPr>
      <t>:</t>
    </r>
  </si>
  <si>
    <t>This means that the government’s fiscal deficit is 5% of the country’s total economic output. The government is borrowing an amount equivalent to 5% of GDP to finance its expenditure beyond its revenue.</t>
  </si>
  <si>
    <t>2024-2025</t>
  </si>
  <si>
    <t>If this is a one-off occurrence due to a specific policy or crisis (e.g., a pandemic), it might be acceptable. But if this level is maintained over several years, it could signal unsustainable fiscal policy and increasing debt.</t>
  </si>
  <si>
    <t>2025-2026</t>
  </si>
  <si>
    <t xml:space="preserve">% of grand total </t>
  </si>
  <si>
    <t>In which year govt spend max for the sector</t>
  </si>
  <si>
    <t>diff</t>
  </si>
  <si>
    <t>for the year for which sector govt spend the most</t>
  </si>
  <si>
    <t>YoY growth</t>
  </si>
  <si>
    <t>year wise growth for the sectors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</si>
</sst>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6C6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0" fontId="2" fillId="0" borderId="1" xfId="0" applyFont="1" applyBorder="1"/>
    <xf numFmtId="164" fontId="0" fillId="0" borderId="0" xfId="1" applyNumberFormat="1" applyFont="1"/>
    <xf numFmtId="0" fontId="0" fillId="0" borderId="2" xfId="0" applyBorder="1" applyAlignment="1">
      <alignment horizontal="left" vertical="center" indent="1"/>
    </xf>
    <xf numFmtId="0" fontId="0" fillId="0" borderId="2" xfId="0" applyBorder="1"/>
    <xf numFmtId="0" fontId="2" fillId="0" borderId="2" xfId="0" applyFont="1" applyBorder="1"/>
    <xf numFmtId="9" fontId="0" fillId="0" borderId="0" xfId="1" applyFont="1"/>
    <xf numFmtId="0" fontId="0" fillId="0" borderId="3" xfId="0" applyBorder="1" applyAlignment="1">
      <alignment horizontal="left" vertical="center" indent="1"/>
    </xf>
    <xf numFmtId="0" fontId="2" fillId="0" borderId="4" xfId="0" applyFont="1" applyBorder="1"/>
    <xf numFmtId="0" fontId="0" fillId="3" borderId="0" xfId="0" applyFill="1"/>
    <xf numFmtId="0" fontId="3" fillId="4" borderId="0" xfId="0" applyFont="1" applyFill="1" applyAlignment="1">
      <alignment horizontal="center"/>
    </xf>
    <xf numFmtId="9" fontId="0" fillId="0" borderId="0" xfId="0" applyNumberFormat="1"/>
    <xf numFmtId="9" fontId="0" fillId="5" borderId="0" xfId="0" applyNumberFormat="1" applyFill="1"/>
  </cellXfs>
  <cellStyles count="2">
    <cellStyle name="Normal" xfId="0" builtinId="0"/>
    <cellStyle name="Percent" xfId="1" builtinId="5"/>
  </cellStyles>
  <dxfs count="6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00C8F-ACBB-41A2-98F9-24B357E97099}">
  <dimension ref="A1:AG94"/>
  <sheetViews>
    <sheetView tabSelected="1" zoomScale="70" zoomScaleNormal="70" workbookViewId="0">
      <selection activeCell="AF23" sqref="AF23"/>
    </sheetView>
  </sheetViews>
  <sheetFormatPr defaultRowHeight="14.4" x14ac:dyDescent="0.3"/>
  <cols>
    <col min="1" max="1" width="15" bestFit="1" customWidth="1"/>
    <col min="5" max="5" width="12.88671875" customWidth="1"/>
    <col min="6" max="6" width="11.21875" customWidth="1"/>
    <col min="23" max="23" width="10.5546875" customWidth="1"/>
    <col min="25" max="25" width="12.77734375" customWidth="1"/>
    <col min="26" max="26" width="10.44140625" customWidth="1"/>
    <col min="27" max="27" width="10.5546875" customWidth="1"/>
    <col min="30" max="30" width="12.21875" bestFit="1" customWidth="1"/>
    <col min="33" max="33" width="175.21875" bestFit="1" customWidth="1"/>
  </cols>
  <sheetData>
    <row r="1" spans="1:33" ht="15" thickBot="1" x14ac:dyDescent="0.35">
      <c r="A1" s="1" t="s">
        <v>0</v>
      </c>
    </row>
    <row r="2" spans="1:33" x14ac:dyDescent="0.3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D2" t="s">
        <v>27</v>
      </c>
      <c r="AE2" t="s">
        <v>28</v>
      </c>
      <c r="AG2" s="2" t="s">
        <v>29</v>
      </c>
    </row>
    <row r="3" spans="1:33" x14ac:dyDescent="0.3">
      <c r="A3" t="s">
        <v>30</v>
      </c>
      <c r="B3">
        <v>183955</v>
      </c>
      <c r="C3">
        <v>318665</v>
      </c>
      <c r="D3">
        <v>228341</v>
      </c>
      <c r="E3">
        <v>112452</v>
      </c>
      <c r="F3">
        <v>27299</v>
      </c>
      <c r="G3">
        <v>2658</v>
      </c>
      <c r="H3">
        <v>89437</v>
      </c>
      <c r="I3">
        <v>43542</v>
      </c>
      <c r="J3">
        <v>17246</v>
      </c>
      <c r="K3">
        <v>18535</v>
      </c>
      <c r="L3">
        <v>63425</v>
      </c>
      <c r="M3">
        <v>119850</v>
      </c>
      <c r="N3">
        <v>612070</v>
      </c>
      <c r="O3">
        <v>20597</v>
      </c>
      <c r="P3">
        <v>79523</v>
      </c>
      <c r="Q3">
        <v>5479</v>
      </c>
      <c r="R3">
        <v>142384</v>
      </c>
      <c r="S3">
        <v>27367</v>
      </c>
      <c r="T3">
        <v>44649</v>
      </c>
      <c r="U3">
        <v>169331</v>
      </c>
      <c r="V3">
        <v>148907</v>
      </c>
      <c r="W3">
        <v>153437</v>
      </c>
      <c r="X3">
        <v>15128</v>
      </c>
      <c r="Y3">
        <v>42054</v>
      </c>
      <c r="Z3">
        <v>2686330</v>
      </c>
      <c r="AD3">
        <v>933651</v>
      </c>
      <c r="AE3" s="3">
        <v>4.5999999999999999E-2</v>
      </c>
      <c r="AG3" s="4"/>
    </row>
    <row r="4" spans="1:33" x14ac:dyDescent="0.3">
      <c r="A4" t="s">
        <v>31</v>
      </c>
      <c r="B4">
        <v>208473</v>
      </c>
      <c r="C4">
        <v>340094</v>
      </c>
      <c r="D4">
        <v>707707</v>
      </c>
      <c r="E4">
        <v>134420</v>
      </c>
      <c r="F4">
        <v>21554</v>
      </c>
      <c r="G4">
        <v>1854</v>
      </c>
      <c r="H4">
        <v>84219</v>
      </c>
      <c r="I4">
        <v>32728</v>
      </c>
      <c r="J4">
        <v>14329</v>
      </c>
      <c r="K4">
        <v>37038</v>
      </c>
      <c r="L4">
        <v>80026</v>
      </c>
      <c r="M4">
        <v>96652</v>
      </c>
      <c r="N4">
        <v>679869</v>
      </c>
      <c r="O4">
        <v>32778</v>
      </c>
      <c r="P4">
        <v>91998</v>
      </c>
      <c r="Q4">
        <v>3172</v>
      </c>
      <c r="R4">
        <v>214246</v>
      </c>
      <c r="S4">
        <v>22100</v>
      </c>
      <c r="T4">
        <v>37563</v>
      </c>
      <c r="U4">
        <v>146439</v>
      </c>
      <c r="V4">
        <v>211475</v>
      </c>
      <c r="W4">
        <v>216795</v>
      </c>
      <c r="X4">
        <v>47605</v>
      </c>
      <c r="Y4">
        <v>46701</v>
      </c>
      <c r="Z4">
        <v>3509836</v>
      </c>
      <c r="AD4">
        <v>1818291</v>
      </c>
      <c r="AE4" s="3">
        <v>9.1999999999999998E-2</v>
      </c>
      <c r="AG4" s="4" t="s">
        <v>32</v>
      </c>
    </row>
    <row r="5" spans="1:33" x14ac:dyDescent="0.3">
      <c r="A5" t="s">
        <v>33</v>
      </c>
      <c r="B5">
        <v>198946</v>
      </c>
      <c r="C5">
        <v>366546</v>
      </c>
      <c r="D5">
        <v>446150</v>
      </c>
      <c r="E5">
        <v>143317</v>
      </c>
      <c r="F5">
        <v>47068</v>
      </c>
      <c r="G5">
        <v>2653</v>
      </c>
      <c r="H5">
        <v>80352</v>
      </c>
      <c r="I5">
        <v>53696</v>
      </c>
      <c r="J5">
        <v>14146</v>
      </c>
      <c r="K5">
        <v>57364</v>
      </c>
      <c r="L5">
        <v>84091</v>
      </c>
      <c r="M5">
        <v>112301</v>
      </c>
      <c r="N5">
        <v>805499</v>
      </c>
      <c r="O5">
        <v>25053</v>
      </c>
      <c r="P5">
        <v>108447</v>
      </c>
      <c r="Q5">
        <v>3753</v>
      </c>
      <c r="R5">
        <v>228760</v>
      </c>
      <c r="S5">
        <v>27772</v>
      </c>
      <c r="T5">
        <v>40595</v>
      </c>
      <c r="U5">
        <v>177144</v>
      </c>
      <c r="V5">
        <v>274580</v>
      </c>
      <c r="W5">
        <v>332238</v>
      </c>
      <c r="X5">
        <v>56490</v>
      </c>
      <c r="Y5">
        <v>106840</v>
      </c>
      <c r="Z5">
        <v>3793801</v>
      </c>
      <c r="AD5">
        <v>1584521</v>
      </c>
      <c r="AE5" s="3">
        <v>6.7000000000000004E-2</v>
      </c>
      <c r="AG5" s="4" t="s">
        <v>34</v>
      </c>
    </row>
    <row r="6" spans="1:33" x14ac:dyDescent="0.3">
      <c r="A6" t="s">
        <v>35</v>
      </c>
      <c r="B6">
        <v>241599</v>
      </c>
      <c r="C6">
        <v>399123</v>
      </c>
      <c r="D6">
        <v>530958</v>
      </c>
      <c r="E6">
        <v>125875</v>
      </c>
      <c r="F6">
        <v>44363</v>
      </c>
      <c r="G6">
        <v>990</v>
      </c>
      <c r="H6">
        <v>98567</v>
      </c>
      <c r="I6">
        <v>65717</v>
      </c>
      <c r="J6">
        <v>16661</v>
      </c>
      <c r="K6">
        <v>11551</v>
      </c>
      <c r="L6">
        <v>73551</v>
      </c>
      <c r="M6">
        <v>120932</v>
      </c>
      <c r="N6">
        <v>928517</v>
      </c>
      <c r="O6">
        <v>111629</v>
      </c>
      <c r="P6">
        <v>101108</v>
      </c>
      <c r="Q6">
        <v>4560</v>
      </c>
      <c r="R6">
        <v>238396</v>
      </c>
      <c r="S6">
        <v>24041</v>
      </c>
      <c r="T6">
        <v>40470</v>
      </c>
      <c r="U6">
        <v>207431</v>
      </c>
      <c r="V6">
        <v>273393</v>
      </c>
      <c r="W6">
        <v>390508</v>
      </c>
      <c r="X6">
        <v>65907</v>
      </c>
      <c r="Y6">
        <v>77310</v>
      </c>
      <c r="Z6">
        <v>4193157</v>
      </c>
      <c r="AD6">
        <v>1727755</v>
      </c>
      <c r="AE6" s="3">
        <v>6.4000000000000001E-2</v>
      </c>
      <c r="AG6" s="5"/>
    </row>
    <row r="7" spans="1:33" x14ac:dyDescent="0.3">
      <c r="A7" t="s">
        <v>36</v>
      </c>
      <c r="B7">
        <v>238328</v>
      </c>
      <c r="C7">
        <v>444699</v>
      </c>
      <c r="D7">
        <v>412346</v>
      </c>
      <c r="E7">
        <v>145995</v>
      </c>
      <c r="F7">
        <v>49809</v>
      </c>
      <c r="G7">
        <v>1628</v>
      </c>
      <c r="H7">
        <v>123365</v>
      </c>
      <c r="I7">
        <v>52405</v>
      </c>
      <c r="J7">
        <v>28915</v>
      </c>
      <c r="K7">
        <v>23403</v>
      </c>
      <c r="L7">
        <v>81594</v>
      </c>
      <c r="M7">
        <v>196872</v>
      </c>
      <c r="N7">
        <v>1063872</v>
      </c>
      <c r="O7">
        <v>82277</v>
      </c>
      <c r="P7">
        <v>0</v>
      </c>
      <c r="Q7">
        <v>0</v>
      </c>
      <c r="R7">
        <v>241193</v>
      </c>
      <c r="S7">
        <v>24657</v>
      </c>
      <c r="T7">
        <v>42065</v>
      </c>
      <c r="U7">
        <v>191327</v>
      </c>
      <c r="V7">
        <v>0</v>
      </c>
      <c r="W7">
        <v>526765</v>
      </c>
      <c r="X7">
        <v>68565</v>
      </c>
      <c r="Y7">
        <v>403367</v>
      </c>
      <c r="Z7">
        <v>4443447</v>
      </c>
      <c r="AD7">
        <v>1654643</v>
      </c>
      <c r="AE7" s="3">
        <v>5.6000000000000001E-2</v>
      </c>
      <c r="AG7" s="6" t="s">
        <v>37</v>
      </c>
    </row>
    <row r="8" spans="1:33" x14ac:dyDescent="0.3">
      <c r="A8" t="s">
        <v>38</v>
      </c>
      <c r="B8">
        <v>1071301</v>
      </c>
      <c r="C8">
        <v>1869127</v>
      </c>
      <c r="D8">
        <v>2325502</v>
      </c>
      <c r="E8">
        <v>662059</v>
      </c>
      <c r="F8">
        <v>190093</v>
      </c>
      <c r="G8">
        <v>9783</v>
      </c>
      <c r="H8">
        <v>475940</v>
      </c>
      <c r="I8">
        <v>248088</v>
      </c>
      <c r="J8">
        <v>91297</v>
      </c>
      <c r="K8">
        <v>147891</v>
      </c>
      <c r="L8">
        <v>382687</v>
      </c>
      <c r="M8">
        <v>646607</v>
      </c>
      <c r="N8">
        <v>4089827</v>
      </c>
      <c r="O8">
        <v>272334</v>
      </c>
      <c r="P8">
        <v>381076</v>
      </c>
      <c r="Q8">
        <v>16964</v>
      </c>
      <c r="R8">
        <v>1064979</v>
      </c>
      <c r="S8">
        <v>125937</v>
      </c>
      <c r="T8">
        <v>205342</v>
      </c>
      <c r="U8">
        <v>891672</v>
      </c>
      <c r="V8">
        <v>908355</v>
      </c>
      <c r="W8">
        <v>1619743</v>
      </c>
      <c r="X8">
        <v>253695</v>
      </c>
      <c r="Y8">
        <v>676272</v>
      </c>
      <c r="Z8">
        <v>18626571</v>
      </c>
      <c r="AE8" s="7"/>
      <c r="AG8" s="4"/>
    </row>
    <row r="9" spans="1:33" x14ac:dyDescent="0.3">
      <c r="AG9" s="4" t="s">
        <v>39</v>
      </c>
    </row>
    <row r="10" spans="1:33" ht="15" thickBot="1" x14ac:dyDescent="0.35">
      <c r="AG10" s="8" t="s">
        <v>40</v>
      </c>
    </row>
    <row r="11" spans="1:33" x14ac:dyDescent="0.3">
      <c r="A11" s="1" t="s">
        <v>41</v>
      </c>
    </row>
    <row r="12" spans="1:33" ht="15" thickBot="1" x14ac:dyDescent="0.35">
      <c r="A12" t="s">
        <v>1</v>
      </c>
      <c r="B12" t="s">
        <v>2</v>
      </c>
      <c r="C12" t="s">
        <v>3</v>
      </c>
      <c r="D12" t="s">
        <v>4</v>
      </c>
      <c r="E12" t="s">
        <v>5</v>
      </c>
      <c r="F12" t="s">
        <v>6</v>
      </c>
      <c r="G12" t="s">
        <v>7</v>
      </c>
      <c r="H12" t="s">
        <v>8</v>
      </c>
      <c r="I12" t="s">
        <v>9</v>
      </c>
      <c r="J12" t="s">
        <v>10</v>
      </c>
      <c r="K12" t="s">
        <v>11</v>
      </c>
      <c r="L12" t="s">
        <v>12</v>
      </c>
      <c r="M12" t="s">
        <v>13</v>
      </c>
      <c r="N12" t="s">
        <v>14</v>
      </c>
      <c r="O12" t="s">
        <v>15</v>
      </c>
      <c r="P12" t="s">
        <v>16</v>
      </c>
      <c r="Q12" t="s">
        <v>17</v>
      </c>
      <c r="R12" t="s">
        <v>18</v>
      </c>
      <c r="S12" t="s">
        <v>19</v>
      </c>
      <c r="T12" t="s">
        <v>20</v>
      </c>
      <c r="U12" t="s">
        <v>21</v>
      </c>
      <c r="V12" t="s">
        <v>22</v>
      </c>
      <c r="W12" t="s">
        <v>23</v>
      </c>
      <c r="X12" t="s">
        <v>24</v>
      </c>
      <c r="Y12" t="s">
        <v>25</v>
      </c>
      <c r="Z12" t="s">
        <v>42</v>
      </c>
      <c r="AA12" t="s">
        <v>26</v>
      </c>
    </row>
    <row r="13" spans="1:33" ht="15" thickBot="1" x14ac:dyDescent="0.35">
      <c r="A13" t="s">
        <v>30</v>
      </c>
      <c r="B13">
        <v>184147</v>
      </c>
      <c r="C13">
        <v>316296</v>
      </c>
      <c r="D13">
        <v>227255</v>
      </c>
      <c r="E13">
        <v>120835</v>
      </c>
      <c r="F13">
        <v>28608</v>
      </c>
      <c r="G13">
        <v>2670</v>
      </c>
      <c r="H13">
        <v>94854</v>
      </c>
      <c r="I13">
        <v>42458</v>
      </c>
      <c r="J13">
        <v>17372</v>
      </c>
      <c r="K13">
        <v>24880</v>
      </c>
      <c r="L13">
        <v>63830</v>
      </c>
      <c r="M13">
        <v>124083</v>
      </c>
      <c r="N13">
        <v>625105</v>
      </c>
      <c r="O13">
        <v>16000</v>
      </c>
      <c r="P13">
        <v>76782</v>
      </c>
      <c r="Q13">
        <v>5811</v>
      </c>
      <c r="R13">
        <v>143409</v>
      </c>
      <c r="S13">
        <v>27694</v>
      </c>
      <c r="T13">
        <v>48210</v>
      </c>
      <c r="U13">
        <v>137307</v>
      </c>
      <c r="V13">
        <v>155447</v>
      </c>
      <c r="W13">
        <v>158207</v>
      </c>
      <c r="X13">
        <v>15026</v>
      </c>
      <c r="Y13">
        <v>42267</v>
      </c>
      <c r="Z13">
        <v>0</v>
      </c>
      <c r="AA13">
        <f>SUM(B13:Z13)</f>
        <v>2698553</v>
      </c>
      <c r="AG13" s="9" t="s">
        <v>43</v>
      </c>
    </row>
    <row r="14" spans="1:33" ht="15" thickBot="1" x14ac:dyDescent="0.35">
      <c r="A14" t="s">
        <v>31</v>
      </c>
      <c r="B14">
        <v>204393</v>
      </c>
      <c r="C14">
        <v>343822</v>
      </c>
      <c r="D14">
        <v>595355</v>
      </c>
      <c r="E14">
        <v>145355</v>
      </c>
      <c r="F14">
        <v>23515</v>
      </c>
      <c r="G14">
        <v>1860</v>
      </c>
      <c r="H14">
        <v>85089</v>
      </c>
      <c r="I14">
        <v>33440</v>
      </c>
      <c r="J14">
        <v>15000</v>
      </c>
      <c r="K14">
        <v>50566</v>
      </c>
      <c r="L14">
        <v>82445</v>
      </c>
      <c r="M14">
        <v>98106</v>
      </c>
      <c r="N14">
        <v>692900</v>
      </c>
      <c r="O14">
        <v>32178</v>
      </c>
      <c r="P14">
        <v>94371</v>
      </c>
      <c r="Q14">
        <v>2164</v>
      </c>
      <c r="R14">
        <v>216342</v>
      </c>
      <c r="S14">
        <v>22352</v>
      </c>
      <c r="T14">
        <v>39629</v>
      </c>
      <c r="U14">
        <v>147728</v>
      </c>
      <c r="V14">
        <v>207001</v>
      </c>
      <c r="W14">
        <v>218622</v>
      </c>
      <c r="X14">
        <v>51282</v>
      </c>
      <c r="Y14">
        <v>46791</v>
      </c>
      <c r="Z14">
        <v>0</v>
      </c>
      <c r="AA14">
        <f t="shared" ref="AA14:AA19" si="0">SUM(B14:Z14)</f>
        <v>3450306</v>
      </c>
    </row>
    <row r="15" spans="1:33" x14ac:dyDescent="0.3">
      <c r="A15" t="s">
        <v>33</v>
      </c>
      <c r="B15">
        <v>198962</v>
      </c>
      <c r="C15">
        <v>368418</v>
      </c>
      <c r="D15">
        <v>433108</v>
      </c>
      <c r="E15">
        <v>147764</v>
      </c>
      <c r="F15">
        <v>45833</v>
      </c>
      <c r="G15">
        <v>2658</v>
      </c>
      <c r="H15">
        <v>88002</v>
      </c>
      <c r="I15">
        <v>48684</v>
      </c>
      <c r="J15">
        <v>16000</v>
      </c>
      <c r="K15">
        <v>51904</v>
      </c>
      <c r="L15">
        <v>85915</v>
      </c>
      <c r="M15">
        <v>115550</v>
      </c>
      <c r="N15">
        <v>813791</v>
      </c>
      <c r="O15">
        <v>28757</v>
      </c>
      <c r="P15">
        <v>101864</v>
      </c>
      <c r="Q15">
        <v>4808</v>
      </c>
      <c r="R15">
        <v>206948</v>
      </c>
      <c r="S15">
        <v>28510</v>
      </c>
      <c r="T15">
        <v>44952</v>
      </c>
      <c r="U15">
        <v>195351</v>
      </c>
      <c r="V15">
        <v>285394</v>
      </c>
      <c r="W15">
        <v>325443</v>
      </c>
      <c r="X15">
        <v>57533</v>
      </c>
      <c r="Y15">
        <v>73850</v>
      </c>
      <c r="Z15">
        <v>0</v>
      </c>
      <c r="AA15">
        <f t="shared" si="0"/>
        <v>3769999</v>
      </c>
      <c r="AG15" s="2" t="s">
        <v>44</v>
      </c>
    </row>
    <row r="16" spans="1:33" x14ac:dyDescent="0.3">
      <c r="A16" t="s">
        <v>35</v>
      </c>
      <c r="B16">
        <v>244780</v>
      </c>
      <c r="C16">
        <v>409500</v>
      </c>
      <c r="D16">
        <v>521585</v>
      </c>
      <c r="E16">
        <v>136279</v>
      </c>
      <c r="F16">
        <v>37540</v>
      </c>
      <c r="G16">
        <v>2755</v>
      </c>
      <c r="H16">
        <v>99881</v>
      </c>
      <c r="I16">
        <v>70936</v>
      </c>
      <c r="J16">
        <v>16973</v>
      </c>
      <c r="K16">
        <v>17908</v>
      </c>
      <c r="L16">
        <v>77351</v>
      </c>
      <c r="M16">
        <v>124872</v>
      </c>
      <c r="N16">
        <v>940651</v>
      </c>
      <c r="O16">
        <v>74106</v>
      </c>
      <c r="P16">
        <v>108102</v>
      </c>
      <c r="Q16">
        <v>6209</v>
      </c>
      <c r="R16">
        <v>243317</v>
      </c>
      <c r="S16">
        <v>25626</v>
      </c>
      <c r="T16">
        <v>46502</v>
      </c>
      <c r="U16">
        <v>177343</v>
      </c>
      <c r="V16">
        <v>270936</v>
      </c>
      <c r="W16">
        <v>390496</v>
      </c>
      <c r="X16">
        <v>69040</v>
      </c>
      <c r="Y16">
        <v>74546</v>
      </c>
      <c r="Z16">
        <v>0</v>
      </c>
      <c r="AA16">
        <f t="shared" si="0"/>
        <v>4187234</v>
      </c>
      <c r="AG16" s="4"/>
    </row>
    <row r="17" spans="1:33" x14ac:dyDescent="0.3">
      <c r="A17" t="s">
        <v>36</v>
      </c>
      <c r="B17">
        <v>238049</v>
      </c>
      <c r="C17">
        <v>455897</v>
      </c>
      <c r="D17">
        <v>413466</v>
      </c>
      <c r="E17">
        <v>140533</v>
      </c>
      <c r="F17">
        <v>47350</v>
      </c>
      <c r="G17">
        <v>5892</v>
      </c>
      <c r="H17">
        <v>108878</v>
      </c>
      <c r="I17">
        <v>54989</v>
      </c>
      <c r="J17">
        <v>29122</v>
      </c>
      <c r="K17">
        <v>23982</v>
      </c>
      <c r="L17">
        <v>79221</v>
      </c>
      <c r="M17">
        <v>133360</v>
      </c>
      <c r="N17">
        <v>1055427</v>
      </c>
      <c r="O17">
        <v>95781</v>
      </c>
      <c r="P17">
        <v>118020</v>
      </c>
      <c r="Q17">
        <v>4475</v>
      </c>
      <c r="R17">
        <v>238984</v>
      </c>
      <c r="S17">
        <v>26651</v>
      </c>
      <c r="T17">
        <v>46741</v>
      </c>
      <c r="U17">
        <v>193695</v>
      </c>
      <c r="V17">
        <v>273985</v>
      </c>
      <c r="W17">
        <v>524941</v>
      </c>
      <c r="X17">
        <v>66676</v>
      </c>
      <c r="Y17">
        <v>69271</v>
      </c>
      <c r="Z17">
        <v>45100</v>
      </c>
      <c r="AA17">
        <f t="shared" si="0"/>
        <v>4490486</v>
      </c>
      <c r="AG17" s="4" t="s">
        <v>45</v>
      </c>
    </row>
    <row r="18" spans="1:33" ht="15" thickBot="1" x14ac:dyDescent="0.35">
      <c r="A18" t="s">
        <v>46</v>
      </c>
      <c r="B18">
        <v>275103</v>
      </c>
      <c r="C18">
        <v>456722</v>
      </c>
      <c r="D18">
        <v>383419</v>
      </c>
      <c r="E18">
        <v>140859</v>
      </c>
      <c r="F18">
        <v>56502</v>
      </c>
      <c r="G18">
        <v>4006</v>
      </c>
      <c r="H18">
        <v>114054</v>
      </c>
      <c r="I18">
        <v>63403</v>
      </c>
      <c r="J18">
        <v>25277</v>
      </c>
      <c r="K18">
        <v>63512</v>
      </c>
      <c r="L18">
        <v>88032</v>
      </c>
      <c r="M18">
        <v>220371</v>
      </c>
      <c r="N18">
        <v>1137940</v>
      </c>
      <c r="O18">
        <v>117869</v>
      </c>
      <c r="P18">
        <v>0</v>
      </c>
      <c r="Q18">
        <v>0</v>
      </c>
      <c r="R18">
        <v>190675</v>
      </c>
      <c r="S18">
        <v>29831</v>
      </c>
      <c r="T18">
        <v>46482</v>
      </c>
      <c r="U18">
        <v>207968</v>
      </c>
      <c r="W18">
        <v>541384</v>
      </c>
      <c r="X18">
        <v>63670</v>
      </c>
      <c r="Y18">
        <v>450008</v>
      </c>
      <c r="Z18">
        <v>0</v>
      </c>
      <c r="AA18">
        <f t="shared" si="0"/>
        <v>4677087</v>
      </c>
      <c r="AG18" s="8" t="s">
        <v>47</v>
      </c>
    </row>
    <row r="19" spans="1:33" x14ac:dyDescent="0.3">
      <c r="A19" t="s">
        <v>48</v>
      </c>
      <c r="B19">
        <v>276618</v>
      </c>
      <c r="C19">
        <v>491732</v>
      </c>
      <c r="D19">
        <v>383407</v>
      </c>
      <c r="E19">
        <v>171437</v>
      </c>
      <c r="F19">
        <v>65553</v>
      </c>
      <c r="G19">
        <v>5915</v>
      </c>
      <c r="H19">
        <v>128650</v>
      </c>
      <c r="I19">
        <v>81174</v>
      </c>
      <c r="J19">
        <v>20517</v>
      </c>
      <c r="K19">
        <v>62924</v>
      </c>
      <c r="L19">
        <v>98311</v>
      </c>
      <c r="M19">
        <v>233211</v>
      </c>
      <c r="N19">
        <v>1276338</v>
      </c>
      <c r="O19">
        <v>95298</v>
      </c>
      <c r="P19">
        <v>0</v>
      </c>
      <c r="Q19">
        <v>0</v>
      </c>
      <c r="R19">
        <v>266817</v>
      </c>
      <c r="S19">
        <v>55679</v>
      </c>
      <c r="T19">
        <v>60052</v>
      </c>
      <c r="U19">
        <v>186632</v>
      </c>
      <c r="W19">
        <v>548649</v>
      </c>
      <c r="X19">
        <v>96777</v>
      </c>
      <c r="Y19">
        <v>482653</v>
      </c>
      <c r="Z19">
        <v>0</v>
      </c>
      <c r="AA19">
        <f t="shared" si="0"/>
        <v>5088344</v>
      </c>
    </row>
    <row r="20" spans="1:33" x14ac:dyDescent="0.3">
      <c r="A20" t="s">
        <v>38</v>
      </c>
      <c r="B20">
        <v>1622052</v>
      </c>
      <c r="C20">
        <v>2842387</v>
      </c>
      <c r="D20">
        <v>2957595</v>
      </c>
      <c r="E20">
        <v>1003062</v>
      </c>
      <c r="F20">
        <v>304901</v>
      </c>
      <c r="G20">
        <v>25756</v>
      </c>
      <c r="H20">
        <v>719408</v>
      </c>
      <c r="I20">
        <v>395084</v>
      </c>
      <c r="J20">
        <v>140261</v>
      </c>
      <c r="K20">
        <v>295676</v>
      </c>
      <c r="L20">
        <v>575105</v>
      </c>
      <c r="M20">
        <v>1049553</v>
      </c>
      <c r="N20">
        <v>6542152</v>
      </c>
      <c r="O20">
        <v>459989</v>
      </c>
      <c r="P20">
        <v>499139</v>
      </c>
      <c r="Q20">
        <v>23467</v>
      </c>
      <c r="R20">
        <v>1506492</v>
      </c>
      <c r="S20">
        <v>216343</v>
      </c>
      <c r="T20">
        <v>332568</v>
      </c>
      <c r="U20">
        <v>1246024</v>
      </c>
      <c r="V20">
        <f>SUM(V13:V17)</f>
        <v>1192763</v>
      </c>
      <c r="W20">
        <f t="shared" ref="W20:Y20" si="1">SUM(W13:W17)</f>
        <v>1617709</v>
      </c>
      <c r="X20">
        <f t="shared" si="1"/>
        <v>259557</v>
      </c>
      <c r="Y20">
        <f t="shared" si="1"/>
        <v>306725</v>
      </c>
      <c r="Z20">
        <v>45100</v>
      </c>
      <c r="AA20">
        <f>SUM(B20:Z20)</f>
        <v>26178868</v>
      </c>
    </row>
    <row r="22" spans="1:33" x14ac:dyDescent="0.3">
      <c r="A22" s="10" t="s">
        <v>49</v>
      </c>
      <c r="B22" s="11" t="s">
        <v>50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33" x14ac:dyDescent="0.3">
      <c r="A23" s="1" t="s">
        <v>0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</row>
    <row r="24" spans="1:33" x14ac:dyDescent="0.3">
      <c r="A24" t="s">
        <v>1</v>
      </c>
      <c r="B24" t="s">
        <v>2</v>
      </c>
      <c r="C24" t="s">
        <v>3</v>
      </c>
      <c r="D24" t="s">
        <v>4</v>
      </c>
      <c r="E24" t="s">
        <v>5</v>
      </c>
      <c r="F24" t="s">
        <v>6</v>
      </c>
      <c r="G24" t="s">
        <v>7</v>
      </c>
      <c r="H24" t="s">
        <v>8</v>
      </c>
      <c r="I24" t="s">
        <v>9</v>
      </c>
      <c r="J24" t="s">
        <v>10</v>
      </c>
      <c r="K24" t="s">
        <v>11</v>
      </c>
      <c r="L24" t="s">
        <v>12</v>
      </c>
      <c r="M24" t="s">
        <v>13</v>
      </c>
      <c r="N24" t="s">
        <v>14</v>
      </c>
      <c r="O24" t="s">
        <v>15</v>
      </c>
      <c r="P24" t="s">
        <v>16</v>
      </c>
      <c r="Q24" t="s">
        <v>17</v>
      </c>
      <c r="R24" t="s">
        <v>18</v>
      </c>
      <c r="S24" t="s">
        <v>19</v>
      </c>
      <c r="T24" t="s">
        <v>20</v>
      </c>
      <c r="U24" t="s">
        <v>21</v>
      </c>
      <c r="V24" t="s">
        <v>22</v>
      </c>
      <c r="W24" t="s">
        <v>23</v>
      </c>
      <c r="X24" t="s">
        <v>24</v>
      </c>
      <c r="Y24" t="s">
        <v>25</v>
      </c>
    </row>
    <row r="25" spans="1:33" x14ac:dyDescent="0.3">
      <c r="A25" t="s">
        <v>30</v>
      </c>
      <c r="B25" s="7">
        <f>B3/B$8</f>
        <v>0.17171177848242464</v>
      </c>
      <c r="C25" s="7">
        <f t="shared" ref="C25:Y25" si="2">C3/C$8</f>
        <v>0.17048868268448319</v>
      </c>
      <c r="D25" s="7">
        <f t="shared" si="2"/>
        <v>9.818998220599251E-2</v>
      </c>
      <c r="E25" s="7">
        <f t="shared" si="2"/>
        <v>0.16985193162542916</v>
      </c>
      <c r="F25" s="7">
        <f t="shared" si="2"/>
        <v>0.14360865471111509</v>
      </c>
      <c r="G25" s="7">
        <f t="shared" si="2"/>
        <v>0.27169579883471329</v>
      </c>
      <c r="H25" s="7">
        <f t="shared" si="2"/>
        <v>0.18791654410219777</v>
      </c>
      <c r="I25" s="7">
        <f t="shared" si="2"/>
        <v>0.17551030279578214</v>
      </c>
      <c r="J25" s="7">
        <f t="shared" si="2"/>
        <v>0.18889996385423399</v>
      </c>
      <c r="K25" s="7">
        <f t="shared" si="2"/>
        <v>0.1253287894462814</v>
      </c>
      <c r="L25" s="7">
        <f t="shared" si="2"/>
        <v>0.165735966991301</v>
      </c>
      <c r="M25" s="7">
        <f t="shared" si="2"/>
        <v>0.18535215362654595</v>
      </c>
      <c r="N25" s="7">
        <f t="shared" si="2"/>
        <v>0.14965669697031195</v>
      </c>
      <c r="O25" s="7">
        <f t="shared" si="2"/>
        <v>7.5631393803197541E-2</v>
      </c>
      <c r="P25" s="7">
        <f t="shared" si="2"/>
        <v>0.20868015828863534</v>
      </c>
      <c r="Q25" s="7">
        <f t="shared" si="2"/>
        <v>0.32297807120962035</v>
      </c>
      <c r="R25" s="7">
        <f t="shared" si="2"/>
        <v>0.13369653298327949</v>
      </c>
      <c r="S25" s="7">
        <f t="shared" si="2"/>
        <v>0.21730706623152846</v>
      </c>
      <c r="T25" s="7">
        <f t="shared" si="2"/>
        <v>0.21743725102511907</v>
      </c>
      <c r="U25" s="7">
        <f t="shared" si="2"/>
        <v>0.18990278936649352</v>
      </c>
      <c r="V25" s="7">
        <f t="shared" si="2"/>
        <v>0.16393040166014389</v>
      </c>
      <c r="W25" s="7">
        <f t="shared" si="2"/>
        <v>9.4729225562326866E-2</v>
      </c>
      <c r="X25" s="7">
        <f t="shared" si="2"/>
        <v>5.9630658862019355E-2</v>
      </c>
      <c r="Y25" s="7">
        <f t="shared" si="2"/>
        <v>6.2185037972886652E-2</v>
      </c>
    </row>
    <row r="26" spans="1:33" x14ac:dyDescent="0.3">
      <c r="A26" t="s">
        <v>31</v>
      </c>
      <c r="B26" s="7">
        <f t="shared" ref="B26:Y30" si="3">B4/B$8</f>
        <v>0.19459797013164368</v>
      </c>
      <c r="C26" s="7">
        <f t="shared" si="3"/>
        <v>0.18195339321512127</v>
      </c>
      <c r="D26" s="7">
        <f t="shared" si="3"/>
        <v>0.30432439963500352</v>
      </c>
      <c r="E26" s="7">
        <f t="shared" si="3"/>
        <v>0.20303326440694863</v>
      </c>
      <c r="F26" s="7">
        <f t="shared" si="3"/>
        <v>0.11338660550362191</v>
      </c>
      <c r="G26" s="7">
        <f t="shared" si="3"/>
        <v>0.18951241950321987</v>
      </c>
      <c r="H26" s="7">
        <f t="shared" si="3"/>
        <v>0.17695297726604195</v>
      </c>
      <c r="I26" s="7">
        <f t="shared" si="3"/>
        <v>0.13192093128244817</v>
      </c>
      <c r="J26" s="7">
        <f t="shared" si="3"/>
        <v>0.15694929734821517</v>
      </c>
      <c r="K26" s="7">
        <f t="shared" si="3"/>
        <v>0.25044120331866038</v>
      </c>
      <c r="L26" s="7">
        <f t="shared" si="3"/>
        <v>0.20911606613237449</v>
      </c>
      <c r="M26" s="7">
        <f t="shared" si="3"/>
        <v>0.14947564749531014</v>
      </c>
      <c r="N26" s="7">
        <f t="shared" si="3"/>
        <v>0.16623417078521904</v>
      </c>
      <c r="O26" s="7">
        <f t="shared" si="3"/>
        <v>0.12035955848333296</v>
      </c>
      <c r="P26" s="7">
        <f t="shared" si="3"/>
        <v>0.24141641037483336</v>
      </c>
      <c r="Q26" s="7">
        <f t="shared" si="3"/>
        <v>0.18698420183918887</v>
      </c>
      <c r="R26" s="7">
        <f t="shared" si="3"/>
        <v>0.2011739198613306</v>
      </c>
      <c r="S26" s="7">
        <f t="shared" si="3"/>
        <v>0.17548456768066573</v>
      </c>
      <c r="T26" s="7">
        <f t="shared" si="3"/>
        <v>0.18292896728384841</v>
      </c>
      <c r="U26" s="7">
        <f t="shared" si="3"/>
        <v>0.1642296718972896</v>
      </c>
      <c r="V26" s="7">
        <f t="shared" si="3"/>
        <v>0.23281096047250249</v>
      </c>
      <c r="W26" s="7">
        <f t="shared" si="3"/>
        <v>0.13384530755805088</v>
      </c>
      <c r="X26" s="7">
        <f t="shared" si="3"/>
        <v>0.18764658349593016</v>
      </c>
      <c r="Y26" s="7">
        <f t="shared" si="3"/>
        <v>6.9056533465824396E-2</v>
      </c>
    </row>
    <row r="27" spans="1:33" x14ac:dyDescent="0.3">
      <c r="A27" t="s">
        <v>33</v>
      </c>
      <c r="B27" s="7">
        <f t="shared" si="3"/>
        <v>0.18570504461397871</v>
      </c>
      <c r="C27" s="7">
        <f t="shared" si="3"/>
        <v>0.19610545457852785</v>
      </c>
      <c r="D27" s="7">
        <f t="shared" si="3"/>
        <v>0.19185104979484</v>
      </c>
      <c r="E27" s="7">
        <f t="shared" si="3"/>
        <v>0.21647164376588793</v>
      </c>
      <c r="F27" s="7">
        <f t="shared" si="3"/>
        <v>0.247605119599354</v>
      </c>
      <c r="G27" s="7">
        <f t="shared" si="3"/>
        <v>0.27118470816722889</v>
      </c>
      <c r="H27" s="7">
        <f t="shared" si="3"/>
        <v>0.16882800352985672</v>
      </c>
      <c r="I27" s="7">
        <f t="shared" si="3"/>
        <v>0.21643932798039406</v>
      </c>
      <c r="J27" s="7">
        <f t="shared" si="3"/>
        <v>0.15494485032366889</v>
      </c>
      <c r="K27" s="7">
        <f t="shared" si="3"/>
        <v>0.38788026316679175</v>
      </c>
      <c r="L27" s="7">
        <f t="shared" si="3"/>
        <v>0.21973832400891591</v>
      </c>
      <c r="M27" s="7">
        <f t="shared" si="3"/>
        <v>0.17367736507646839</v>
      </c>
      <c r="N27" s="7">
        <f t="shared" si="3"/>
        <v>0.19695185150863351</v>
      </c>
      <c r="O27" s="7">
        <f t="shared" si="3"/>
        <v>9.1993654850294121E-2</v>
      </c>
      <c r="P27" s="7">
        <f t="shared" si="3"/>
        <v>0.28458102845626593</v>
      </c>
      <c r="Q27" s="7">
        <f t="shared" si="3"/>
        <v>0.22123319971704786</v>
      </c>
      <c r="R27" s="7">
        <f t="shared" si="3"/>
        <v>0.21480235760517344</v>
      </c>
      <c r="S27" s="7">
        <f t="shared" si="3"/>
        <v>0.22052295989264473</v>
      </c>
      <c r="T27" s="7">
        <f t="shared" si="3"/>
        <v>0.19769457782626057</v>
      </c>
      <c r="U27" s="7">
        <f t="shared" si="3"/>
        <v>0.19866497994778348</v>
      </c>
      <c r="V27" s="7">
        <f t="shared" si="3"/>
        <v>0.30228269784390466</v>
      </c>
      <c r="W27" s="7">
        <f t="shared" si="3"/>
        <v>0.20511772546632398</v>
      </c>
      <c r="X27" s="7">
        <f t="shared" si="3"/>
        <v>0.22266895287648555</v>
      </c>
      <c r="Y27" s="7">
        <f t="shared" si="3"/>
        <v>0.15798376984408641</v>
      </c>
    </row>
    <row r="28" spans="1:33" x14ac:dyDescent="0.3">
      <c r="A28" t="s">
        <v>35</v>
      </c>
      <c r="B28" s="7">
        <f t="shared" si="3"/>
        <v>0.22551925182558402</v>
      </c>
      <c r="C28" s="7">
        <f t="shared" si="3"/>
        <v>0.21353444682999068</v>
      </c>
      <c r="D28" s="7">
        <f t="shared" si="3"/>
        <v>0.2283197348357473</v>
      </c>
      <c r="E28" s="7">
        <f t="shared" si="3"/>
        <v>0.1901265597174874</v>
      </c>
      <c r="F28" s="7">
        <f t="shared" si="3"/>
        <v>0.23337524264438986</v>
      </c>
      <c r="G28" s="7">
        <f t="shared" si="3"/>
        <v>0.10119595216191353</v>
      </c>
      <c r="H28" s="7">
        <f t="shared" si="3"/>
        <v>0.20709963440769846</v>
      </c>
      <c r="I28" s="7">
        <f t="shared" si="3"/>
        <v>0.26489390861307277</v>
      </c>
      <c r="J28" s="7">
        <f t="shared" si="3"/>
        <v>0.18249230533314348</v>
      </c>
      <c r="K28" s="7">
        <f t="shared" si="3"/>
        <v>7.8104820442082348E-2</v>
      </c>
      <c r="L28" s="7">
        <f t="shared" si="3"/>
        <v>0.19219623347539896</v>
      </c>
      <c r="M28" s="7">
        <f t="shared" si="3"/>
        <v>0.18702550389958661</v>
      </c>
      <c r="N28" s="7">
        <f t="shared" si="3"/>
        <v>0.22703087441106923</v>
      </c>
      <c r="O28" s="7">
        <f t="shared" si="3"/>
        <v>0.40989740539190844</v>
      </c>
      <c r="P28" s="7">
        <f t="shared" si="3"/>
        <v>0.26532240288026537</v>
      </c>
      <c r="Q28" s="7">
        <f t="shared" si="3"/>
        <v>0.26880452723414289</v>
      </c>
      <c r="R28" s="7">
        <f t="shared" si="3"/>
        <v>0.22385042334168093</v>
      </c>
      <c r="S28" s="7">
        <f t="shared" si="3"/>
        <v>0.19089703581949705</v>
      </c>
      <c r="T28" s="7">
        <f t="shared" si="3"/>
        <v>0.19708583728608858</v>
      </c>
      <c r="U28" s="7">
        <f t="shared" si="3"/>
        <v>0.23263150575547958</v>
      </c>
      <c r="V28" s="7">
        <f t="shared" si="3"/>
        <v>0.30097594002344896</v>
      </c>
      <c r="W28" s="7">
        <f t="shared" si="3"/>
        <v>0.24109256838893578</v>
      </c>
      <c r="X28" s="7">
        <f t="shared" si="3"/>
        <v>0.25978832850470052</v>
      </c>
      <c r="Y28" s="7">
        <f t="shared" si="3"/>
        <v>0.11431790758747959</v>
      </c>
    </row>
    <row r="29" spans="1:33" x14ac:dyDescent="0.3">
      <c r="A29" t="s">
        <v>36</v>
      </c>
      <c r="B29" s="7">
        <f t="shared" si="3"/>
        <v>0.22246595494636895</v>
      </c>
      <c r="C29" s="7">
        <f t="shared" si="3"/>
        <v>0.23791802269187701</v>
      </c>
      <c r="D29" s="7">
        <f t="shared" si="3"/>
        <v>0.17731483352841665</v>
      </c>
      <c r="E29" s="7">
        <f t="shared" si="3"/>
        <v>0.22051660048424687</v>
      </c>
      <c r="F29" s="7">
        <f t="shared" si="3"/>
        <v>0.26202437754151914</v>
      </c>
      <c r="G29" s="7">
        <f t="shared" si="3"/>
        <v>0.16641112133292446</v>
      </c>
      <c r="H29" s="7">
        <f t="shared" si="3"/>
        <v>0.25920284069420513</v>
      </c>
      <c r="I29" s="7">
        <f t="shared" si="3"/>
        <v>0.21123552932830286</v>
      </c>
      <c r="J29" s="7">
        <f t="shared" si="3"/>
        <v>0.31671358314073844</v>
      </c>
      <c r="K29" s="7">
        <f t="shared" si="3"/>
        <v>0.15824492362618414</v>
      </c>
      <c r="L29" s="7">
        <f t="shared" si="3"/>
        <v>0.21321340939200967</v>
      </c>
      <c r="M29" s="7">
        <f t="shared" si="3"/>
        <v>0.30446932990208891</v>
      </c>
      <c r="N29" s="7">
        <f t="shared" si="3"/>
        <v>0.2601264063247663</v>
      </c>
      <c r="O29" s="7">
        <f t="shared" si="3"/>
        <v>0.30211798747126689</v>
      </c>
      <c r="P29" s="7">
        <f t="shared" si="3"/>
        <v>0</v>
      </c>
      <c r="Q29" s="7">
        <f t="shared" si="3"/>
        <v>0</v>
      </c>
      <c r="R29" s="7">
        <f t="shared" si="3"/>
        <v>0.22647676620853557</v>
      </c>
      <c r="S29" s="7">
        <f t="shared" si="3"/>
        <v>0.19578837037566402</v>
      </c>
      <c r="T29" s="7">
        <f t="shared" si="3"/>
        <v>0.20485336657868336</v>
      </c>
      <c r="U29" s="7">
        <f t="shared" si="3"/>
        <v>0.21457105303295382</v>
      </c>
      <c r="V29" s="7">
        <f t="shared" si="3"/>
        <v>0</v>
      </c>
      <c r="W29" s="7">
        <f t="shared" si="3"/>
        <v>0.32521517302436248</v>
      </c>
      <c r="X29" s="7">
        <f t="shared" si="3"/>
        <v>0.27026547626086445</v>
      </c>
      <c r="Y29" s="7">
        <f t="shared" si="3"/>
        <v>0.59645675112972296</v>
      </c>
    </row>
    <row r="30" spans="1:33" x14ac:dyDescent="0.3">
      <c r="A30" t="s">
        <v>38</v>
      </c>
      <c r="B30" s="7">
        <f t="shared" si="3"/>
        <v>1</v>
      </c>
      <c r="C30" s="7">
        <f t="shared" si="3"/>
        <v>1</v>
      </c>
      <c r="D30" s="7">
        <f t="shared" si="3"/>
        <v>1</v>
      </c>
      <c r="E30" s="7">
        <f t="shared" si="3"/>
        <v>1</v>
      </c>
      <c r="F30" s="7">
        <f t="shared" si="3"/>
        <v>1</v>
      </c>
      <c r="G30" s="7">
        <f t="shared" si="3"/>
        <v>1</v>
      </c>
      <c r="H30" s="7">
        <f t="shared" si="3"/>
        <v>1</v>
      </c>
      <c r="I30" s="7">
        <f t="shared" si="3"/>
        <v>1</v>
      </c>
      <c r="J30" s="7">
        <f t="shared" si="3"/>
        <v>1</v>
      </c>
      <c r="K30" s="7">
        <f t="shared" si="3"/>
        <v>1</v>
      </c>
      <c r="L30" s="7">
        <f t="shared" si="3"/>
        <v>1</v>
      </c>
      <c r="M30" s="7">
        <f t="shared" si="3"/>
        <v>1</v>
      </c>
      <c r="N30" s="7">
        <f t="shared" si="3"/>
        <v>1</v>
      </c>
      <c r="O30" s="7">
        <f t="shared" si="3"/>
        <v>1</v>
      </c>
      <c r="P30" s="7">
        <f t="shared" si="3"/>
        <v>1</v>
      </c>
      <c r="Q30" s="7">
        <f t="shared" si="3"/>
        <v>1</v>
      </c>
      <c r="R30" s="7">
        <f t="shared" si="3"/>
        <v>1</v>
      </c>
      <c r="S30" s="7">
        <f t="shared" si="3"/>
        <v>1</v>
      </c>
      <c r="T30" s="7">
        <f t="shared" si="3"/>
        <v>1</v>
      </c>
      <c r="U30" s="7">
        <f t="shared" si="3"/>
        <v>1</v>
      </c>
      <c r="V30" s="7">
        <f t="shared" si="3"/>
        <v>1</v>
      </c>
      <c r="W30" s="7">
        <f t="shared" si="3"/>
        <v>1</v>
      </c>
      <c r="X30" s="7">
        <f t="shared" si="3"/>
        <v>1</v>
      </c>
      <c r="Y30" s="7">
        <f t="shared" si="3"/>
        <v>1</v>
      </c>
    </row>
    <row r="32" spans="1:33" x14ac:dyDescent="0.3">
      <c r="A32" s="1" t="s">
        <v>41</v>
      </c>
    </row>
    <row r="33" spans="1:26" x14ac:dyDescent="0.3">
      <c r="A33" t="s">
        <v>1</v>
      </c>
      <c r="B33" t="s">
        <v>2</v>
      </c>
      <c r="C33" t="s">
        <v>3</v>
      </c>
      <c r="D33" t="s">
        <v>4</v>
      </c>
      <c r="E33" t="s">
        <v>5</v>
      </c>
      <c r="F33" t="s">
        <v>6</v>
      </c>
      <c r="G33" t="s">
        <v>7</v>
      </c>
      <c r="H33" t="s">
        <v>8</v>
      </c>
      <c r="I33" t="s">
        <v>9</v>
      </c>
      <c r="J33" t="s">
        <v>10</v>
      </c>
      <c r="K33" t="s">
        <v>11</v>
      </c>
      <c r="L33" t="s">
        <v>12</v>
      </c>
      <c r="M33" t="s">
        <v>13</v>
      </c>
      <c r="N33" t="s">
        <v>14</v>
      </c>
      <c r="O33" t="s">
        <v>15</v>
      </c>
      <c r="P33" t="s">
        <v>16</v>
      </c>
      <c r="Q33" t="s">
        <v>17</v>
      </c>
      <c r="R33" t="s">
        <v>18</v>
      </c>
      <c r="S33" t="s">
        <v>19</v>
      </c>
      <c r="T33" t="s">
        <v>20</v>
      </c>
      <c r="U33" t="s">
        <v>21</v>
      </c>
      <c r="V33" t="s">
        <v>22</v>
      </c>
      <c r="W33" t="s">
        <v>23</v>
      </c>
      <c r="X33" t="s">
        <v>24</v>
      </c>
      <c r="Y33" t="s">
        <v>25</v>
      </c>
      <c r="Z33" t="s">
        <v>42</v>
      </c>
    </row>
    <row r="34" spans="1:26" x14ac:dyDescent="0.3">
      <c r="A34" t="s">
        <v>30</v>
      </c>
      <c r="B34" s="7">
        <f>B13/B$20</f>
        <v>0.11352718655135594</v>
      </c>
      <c r="C34" s="7">
        <f t="shared" ref="C34:Z34" si="4">C13/C$20</f>
        <v>0.11127830235643493</v>
      </c>
      <c r="D34" s="7">
        <f t="shared" si="4"/>
        <v>7.6837768524764205E-2</v>
      </c>
      <c r="E34" s="7">
        <f t="shared" si="4"/>
        <v>0.12046613270166749</v>
      </c>
      <c r="F34" s="7">
        <f t="shared" si="4"/>
        <v>9.3827176690138764E-2</v>
      </c>
      <c r="G34" s="7">
        <f t="shared" si="4"/>
        <v>0.10366516539835378</v>
      </c>
      <c r="H34" s="7">
        <f t="shared" si="4"/>
        <v>0.13185007672975557</v>
      </c>
      <c r="I34" s="7">
        <f t="shared" si="4"/>
        <v>0.10746575411811159</v>
      </c>
      <c r="J34" s="7">
        <f t="shared" si="4"/>
        <v>0.12385481352621185</v>
      </c>
      <c r="K34" s="7">
        <f t="shared" si="4"/>
        <v>8.4146159985930544E-2</v>
      </c>
      <c r="L34" s="7">
        <f t="shared" si="4"/>
        <v>0.11098842820006781</v>
      </c>
      <c r="M34" s="7">
        <f t="shared" si="4"/>
        <v>0.11822461562207912</v>
      </c>
      <c r="N34" s="7">
        <f t="shared" si="4"/>
        <v>9.5550363244388078E-2</v>
      </c>
      <c r="O34" s="7">
        <f t="shared" si="4"/>
        <v>3.4783440473576545E-2</v>
      </c>
      <c r="P34" s="7">
        <f t="shared" si="4"/>
        <v>0.15382889335435621</v>
      </c>
      <c r="Q34" s="7">
        <f t="shared" si="4"/>
        <v>0.24762432351813185</v>
      </c>
      <c r="R34" s="7">
        <f t="shared" si="4"/>
        <v>9.5194000366414164E-2</v>
      </c>
      <c r="S34" s="7">
        <f t="shared" si="4"/>
        <v>0.12800968831901194</v>
      </c>
      <c r="T34" s="7">
        <f t="shared" si="4"/>
        <v>0.14496283466839865</v>
      </c>
      <c r="U34" s="7">
        <f t="shared" si="4"/>
        <v>0.11019611179238924</v>
      </c>
      <c r="V34" s="7">
        <f t="shared" si="4"/>
        <v>0.13032513584006211</v>
      </c>
      <c r="W34" s="7">
        <f t="shared" si="4"/>
        <v>9.7796946175115543E-2</v>
      </c>
      <c r="X34" s="7">
        <f t="shared" si="4"/>
        <v>5.7890944956213858E-2</v>
      </c>
      <c r="Y34" s="7">
        <f t="shared" si="4"/>
        <v>0.13780096177357568</v>
      </c>
      <c r="Z34" s="7">
        <f t="shared" si="4"/>
        <v>0</v>
      </c>
    </row>
    <row r="35" spans="1:26" x14ac:dyDescent="0.3">
      <c r="A35" t="s">
        <v>31</v>
      </c>
      <c r="B35" s="7">
        <f t="shared" ref="B35:Z38" si="5">B14/B$20</f>
        <v>0.12600890723601957</v>
      </c>
      <c r="C35" s="7">
        <f t="shared" si="5"/>
        <v>0.12096241644786583</v>
      </c>
      <c r="D35" s="7">
        <f t="shared" si="5"/>
        <v>0.20129699975824952</v>
      </c>
      <c r="E35" s="7">
        <f t="shared" si="5"/>
        <v>0.14491128165557066</v>
      </c>
      <c r="F35" s="7">
        <f t="shared" si="5"/>
        <v>7.7123394150888328E-2</v>
      </c>
      <c r="G35" s="7">
        <f t="shared" si="5"/>
        <v>7.221618263705544E-2</v>
      </c>
      <c r="H35" s="7">
        <f t="shared" si="5"/>
        <v>0.11827641616440183</v>
      </c>
      <c r="I35" s="7">
        <f t="shared" si="5"/>
        <v>8.4640228407123555E-2</v>
      </c>
      <c r="J35" s="7">
        <f t="shared" si="5"/>
        <v>0.10694348393352393</v>
      </c>
      <c r="K35" s="7">
        <f t="shared" si="5"/>
        <v>0.17101827676240208</v>
      </c>
      <c r="L35" s="7">
        <f t="shared" si="5"/>
        <v>0.14335643056485337</v>
      </c>
      <c r="M35" s="7">
        <f t="shared" si="5"/>
        <v>9.3474078965045115E-2</v>
      </c>
      <c r="N35" s="7">
        <f t="shared" si="5"/>
        <v>0.10591316129616066</v>
      </c>
      <c r="O35" s="7">
        <f t="shared" si="5"/>
        <v>6.9953846722421623E-2</v>
      </c>
      <c r="P35" s="7">
        <f t="shared" si="5"/>
        <v>0.18906757436305319</v>
      </c>
      <c r="Q35" s="7">
        <f t="shared" si="5"/>
        <v>9.2214599224442834E-2</v>
      </c>
      <c r="R35" s="7">
        <f t="shared" si="5"/>
        <v>0.14360647119267808</v>
      </c>
      <c r="S35" s="7">
        <f t="shared" si="5"/>
        <v>0.10331741724946035</v>
      </c>
      <c r="T35" s="7">
        <f t="shared" si="5"/>
        <v>0.11916059272088715</v>
      </c>
      <c r="U35" s="7">
        <f t="shared" si="5"/>
        <v>0.11855951410245709</v>
      </c>
      <c r="V35" s="7">
        <f t="shared" si="5"/>
        <v>0.17354746919547304</v>
      </c>
      <c r="W35" s="7">
        <f t="shared" si="5"/>
        <v>0.13514297070733983</v>
      </c>
      <c r="X35" s="7">
        <f t="shared" si="5"/>
        <v>0.1975750991111779</v>
      </c>
      <c r="Y35" s="7">
        <f t="shared" si="5"/>
        <v>0.15255033010025268</v>
      </c>
      <c r="Z35" s="7">
        <f t="shared" si="5"/>
        <v>0</v>
      </c>
    </row>
    <row r="36" spans="1:26" x14ac:dyDescent="0.3">
      <c r="A36" t="s">
        <v>33</v>
      </c>
      <c r="B36" s="7">
        <f t="shared" si="5"/>
        <v>0.12266067918907655</v>
      </c>
      <c r="C36" s="7">
        <f t="shared" si="5"/>
        <v>0.12961570679854642</v>
      </c>
      <c r="D36" s="7">
        <f t="shared" si="5"/>
        <v>0.14643925216265244</v>
      </c>
      <c r="E36" s="7">
        <f t="shared" si="5"/>
        <v>0.14731292781503039</v>
      </c>
      <c r="F36" s="7">
        <f t="shared" si="5"/>
        <v>0.15032092384085327</v>
      </c>
      <c r="G36" s="7">
        <f t="shared" si="5"/>
        <v>0.10319925454263085</v>
      </c>
      <c r="H36" s="7">
        <f t="shared" si="5"/>
        <v>0.12232557880924315</v>
      </c>
      <c r="I36" s="7">
        <f t="shared" si="5"/>
        <v>0.12322442822285894</v>
      </c>
      <c r="J36" s="7">
        <f t="shared" si="5"/>
        <v>0.1140730495290922</v>
      </c>
      <c r="K36" s="7">
        <f t="shared" si="5"/>
        <v>0.17554350031791555</v>
      </c>
      <c r="L36" s="7">
        <f t="shared" si="5"/>
        <v>0.14939011137096703</v>
      </c>
      <c r="M36" s="7">
        <f t="shared" si="5"/>
        <v>0.11009448784387259</v>
      </c>
      <c r="N36" s="7">
        <f t="shared" si="5"/>
        <v>0.12439194320156426</v>
      </c>
      <c r="O36" s="7">
        <f t="shared" si="5"/>
        <v>6.2516712356165044E-2</v>
      </c>
      <c r="P36" s="7">
        <f t="shared" si="5"/>
        <v>0.20407942476945301</v>
      </c>
      <c r="Q36" s="7">
        <f t="shared" si="5"/>
        <v>0.20488345336003749</v>
      </c>
      <c r="R36" s="7">
        <f t="shared" si="5"/>
        <v>0.13737079254320633</v>
      </c>
      <c r="S36" s="7">
        <f t="shared" si="5"/>
        <v>0.1317814766366372</v>
      </c>
      <c r="T36" s="7">
        <f t="shared" si="5"/>
        <v>0.13516634192105073</v>
      </c>
      <c r="U36" s="7">
        <f t="shared" si="5"/>
        <v>0.15677948418329021</v>
      </c>
      <c r="V36" s="7">
        <f t="shared" si="5"/>
        <v>0.23927133889968083</v>
      </c>
      <c r="W36" s="7">
        <f t="shared" si="5"/>
        <v>0.20117524227163228</v>
      </c>
      <c r="X36" s="7">
        <f t="shared" si="5"/>
        <v>0.22165844111312738</v>
      </c>
      <c r="Y36" s="7">
        <f t="shared" si="5"/>
        <v>0.24076941886054284</v>
      </c>
      <c r="Z36" s="7">
        <f t="shared" si="5"/>
        <v>0</v>
      </c>
    </row>
    <row r="37" spans="1:26" x14ac:dyDescent="0.3">
      <c r="A37" t="s">
        <v>35</v>
      </c>
      <c r="B37" s="7">
        <f t="shared" si="5"/>
        <v>0.15090761578543721</v>
      </c>
      <c r="C37" s="7">
        <f t="shared" si="5"/>
        <v>0.14406905182158516</v>
      </c>
      <c r="D37" s="7">
        <f t="shared" si="5"/>
        <v>0.17635443662840924</v>
      </c>
      <c r="E37" s="7">
        <f t="shared" si="5"/>
        <v>0.13586298753217649</v>
      </c>
      <c r="F37" s="7">
        <f t="shared" si="5"/>
        <v>0.12312193138100563</v>
      </c>
      <c r="G37" s="7">
        <f t="shared" si="5"/>
        <v>0.10696536729305793</v>
      </c>
      <c r="H37" s="7">
        <f t="shared" si="5"/>
        <v>0.13883776660809999</v>
      </c>
      <c r="I37" s="7">
        <f t="shared" si="5"/>
        <v>0.17954662805884319</v>
      </c>
      <c r="J37" s="7">
        <f t="shared" si="5"/>
        <v>0.12101011685358011</v>
      </c>
      <c r="K37" s="7">
        <f t="shared" si="5"/>
        <v>6.0566295539712385E-2</v>
      </c>
      <c r="L37" s="7">
        <f t="shared" si="5"/>
        <v>0.13449891758896201</v>
      </c>
      <c r="M37" s="7">
        <f t="shared" si="5"/>
        <v>0.11897636422362663</v>
      </c>
      <c r="N37" s="7">
        <f t="shared" si="5"/>
        <v>0.14378311601442462</v>
      </c>
      <c r="O37" s="7">
        <f t="shared" si="5"/>
        <v>0.16110385248342896</v>
      </c>
      <c r="P37" s="7">
        <f t="shared" si="5"/>
        <v>0.21657694550015125</v>
      </c>
      <c r="Q37" s="7">
        <f t="shared" si="5"/>
        <v>0.26458430988196191</v>
      </c>
      <c r="R37" s="7">
        <f t="shared" si="5"/>
        <v>0.16151230806403219</v>
      </c>
      <c r="S37" s="7">
        <f t="shared" si="5"/>
        <v>0.11845079341601068</v>
      </c>
      <c r="T37" s="7">
        <f t="shared" si="5"/>
        <v>0.13982704289047654</v>
      </c>
      <c r="U37" s="7">
        <f t="shared" si="5"/>
        <v>0.1423271140844799</v>
      </c>
      <c r="V37" s="7">
        <f t="shared" si="5"/>
        <v>0.22714990320792983</v>
      </c>
      <c r="W37" s="7">
        <f t="shared" si="5"/>
        <v>0.24138828429587769</v>
      </c>
      <c r="X37" s="7">
        <f t="shared" si="5"/>
        <v>0.26599167042306698</v>
      </c>
      <c r="Y37" s="7">
        <f t="shared" si="5"/>
        <v>0.24303855244926237</v>
      </c>
      <c r="Z37" s="7">
        <f t="shared" si="5"/>
        <v>0</v>
      </c>
    </row>
    <row r="38" spans="1:26" x14ac:dyDescent="0.3">
      <c r="A38" t="s">
        <v>36</v>
      </c>
      <c r="B38" s="7">
        <f t="shared" si="5"/>
        <v>0.14675793377770874</v>
      </c>
      <c r="C38" s="7">
        <f t="shared" si="5"/>
        <v>0.1603923040740054</v>
      </c>
      <c r="D38" s="7">
        <f t="shared" si="5"/>
        <v>0.13979804537132365</v>
      </c>
      <c r="E38" s="7">
        <f t="shared" si="5"/>
        <v>0.14010400154726227</v>
      </c>
      <c r="F38" s="7">
        <f t="shared" si="5"/>
        <v>0.15529630929383637</v>
      </c>
      <c r="G38" s="7">
        <f t="shared" si="5"/>
        <v>0.22876223015996272</v>
      </c>
      <c r="H38" s="7">
        <f t="shared" si="5"/>
        <v>0.15134388274803728</v>
      </c>
      <c r="I38" s="7">
        <f t="shared" si="5"/>
        <v>0.13918305980500351</v>
      </c>
      <c r="J38" s="7">
        <f t="shared" si="5"/>
        <v>0.20762720927413891</v>
      </c>
      <c r="K38" s="7">
        <f t="shared" si="5"/>
        <v>8.1109051799943183E-2</v>
      </c>
      <c r="L38" s="7">
        <f t="shared" si="5"/>
        <v>0.13775049773519618</v>
      </c>
      <c r="M38" s="7">
        <f t="shared" si="5"/>
        <v>0.12706361660630763</v>
      </c>
      <c r="N38" s="7">
        <f t="shared" si="5"/>
        <v>0.1613271901967426</v>
      </c>
      <c r="O38" s="7">
        <f t="shared" si="5"/>
        <v>0.20822454449997718</v>
      </c>
      <c r="P38" s="7">
        <f t="shared" si="5"/>
        <v>0.23644716201298635</v>
      </c>
      <c r="Q38" s="7">
        <f t="shared" si="5"/>
        <v>0.19069331401542591</v>
      </c>
      <c r="R38" s="7">
        <f t="shared" si="5"/>
        <v>0.15863608967057244</v>
      </c>
      <c r="S38" s="7">
        <f t="shared" si="5"/>
        <v>0.12318864026106692</v>
      </c>
      <c r="T38" s="7">
        <f t="shared" si="5"/>
        <v>0.14054569291092348</v>
      </c>
      <c r="U38" s="7">
        <f t="shared" si="5"/>
        <v>0.15545045681303088</v>
      </c>
      <c r="V38" s="7">
        <f t="shared" si="5"/>
        <v>0.22970615285685422</v>
      </c>
      <c r="W38" s="7">
        <f t="shared" si="5"/>
        <v>0.32449655655003462</v>
      </c>
      <c r="X38" s="7">
        <f t="shared" si="5"/>
        <v>0.25688384439641387</v>
      </c>
      <c r="Y38" s="7">
        <f t="shared" si="5"/>
        <v>0.22584073681636646</v>
      </c>
      <c r="Z38" s="7">
        <f t="shared" si="5"/>
        <v>1</v>
      </c>
    </row>
    <row r="39" spans="1:26" x14ac:dyDescent="0.3">
      <c r="A39" t="s">
        <v>38</v>
      </c>
      <c r="B39" s="7">
        <f t="shared" ref="B39:Z39" si="6">B20/B$20</f>
        <v>1</v>
      </c>
      <c r="C39" s="7">
        <f t="shared" si="6"/>
        <v>1</v>
      </c>
      <c r="D39" s="7">
        <f t="shared" si="6"/>
        <v>1</v>
      </c>
      <c r="E39" s="7">
        <f t="shared" si="6"/>
        <v>1</v>
      </c>
      <c r="F39" s="7">
        <f t="shared" si="6"/>
        <v>1</v>
      </c>
      <c r="G39" s="7">
        <f t="shared" si="6"/>
        <v>1</v>
      </c>
      <c r="H39" s="7">
        <f t="shared" si="6"/>
        <v>1</v>
      </c>
      <c r="I39" s="7">
        <f t="shared" si="6"/>
        <v>1</v>
      </c>
      <c r="J39" s="7">
        <f t="shared" si="6"/>
        <v>1</v>
      </c>
      <c r="K39" s="7">
        <f t="shared" si="6"/>
        <v>1</v>
      </c>
      <c r="L39" s="7">
        <f t="shared" si="6"/>
        <v>1</v>
      </c>
      <c r="M39" s="7">
        <f t="shared" si="6"/>
        <v>1</v>
      </c>
      <c r="N39" s="7">
        <f t="shared" si="6"/>
        <v>1</v>
      </c>
      <c r="O39" s="7">
        <f t="shared" si="6"/>
        <v>1</v>
      </c>
      <c r="P39" s="7">
        <f t="shared" si="6"/>
        <v>1</v>
      </c>
      <c r="Q39" s="7">
        <f t="shared" si="6"/>
        <v>1</v>
      </c>
      <c r="R39" s="7">
        <f t="shared" si="6"/>
        <v>1</v>
      </c>
      <c r="S39" s="7">
        <f t="shared" si="6"/>
        <v>1</v>
      </c>
      <c r="T39" s="7">
        <f t="shared" si="6"/>
        <v>1</v>
      </c>
      <c r="U39" s="7">
        <f t="shared" si="6"/>
        <v>1</v>
      </c>
      <c r="V39" s="7">
        <f t="shared" si="6"/>
        <v>1</v>
      </c>
      <c r="W39" s="7">
        <f t="shared" si="6"/>
        <v>1</v>
      </c>
      <c r="X39" s="7">
        <f t="shared" si="6"/>
        <v>1</v>
      </c>
      <c r="Y39" s="7">
        <f t="shared" si="6"/>
        <v>1</v>
      </c>
      <c r="Z39" s="7">
        <f t="shared" si="6"/>
        <v>1</v>
      </c>
    </row>
    <row r="41" spans="1:26" x14ac:dyDescent="0.3">
      <c r="A41" s="1" t="s">
        <v>51</v>
      </c>
    </row>
    <row r="42" spans="1:26" x14ac:dyDescent="0.3">
      <c r="A42" t="s">
        <v>1</v>
      </c>
      <c r="B42" t="s">
        <v>2</v>
      </c>
      <c r="C42" t="s">
        <v>3</v>
      </c>
      <c r="D42" t="s">
        <v>4</v>
      </c>
      <c r="E42" t="s">
        <v>5</v>
      </c>
      <c r="F42" t="s">
        <v>6</v>
      </c>
      <c r="G42" t="s">
        <v>7</v>
      </c>
      <c r="H42" t="s">
        <v>8</v>
      </c>
      <c r="I42" t="s">
        <v>9</v>
      </c>
      <c r="J42" t="s">
        <v>10</v>
      </c>
      <c r="K42" t="s">
        <v>11</v>
      </c>
      <c r="L42" t="s">
        <v>12</v>
      </c>
      <c r="M42" t="s">
        <v>13</v>
      </c>
      <c r="N42" t="s">
        <v>14</v>
      </c>
      <c r="O42" t="s">
        <v>15</v>
      </c>
      <c r="P42" t="s">
        <v>16</v>
      </c>
      <c r="Q42" t="s">
        <v>17</v>
      </c>
      <c r="R42" t="s">
        <v>18</v>
      </c>
      <c r="S42" t="s">
        <v>19</v>
      </c>
      <c r="T42" t="s">
        <v>20</v>
      </c>
      <c r="U42" t="s">
        <v>21</v>
      </c>
      <c r="V42" t="s">
        <v>22</v>
      </c>
      <c r="W42" t="s">
        <v>23</v>
      </c>
      <c r="X42" t="s">
        <v>24</v>
      </c>
      <c r="Y42" t="s">
        <v>25</v>
      </c>
    </row>
    <row r="43" spans="1:26" x14ac:dyDescent="0.3">
      <c r="A43" t="s">
        <v>30</v>
      </c>
      <c r="B43" s="12">
        <f t="shared" ref="B43:Y48" si="7">B25-B34</f>
        <v>5.8184591931068702E-2</v>
      </c>
      <c r="C43" s="12">
        <f t="shared" si="7"/>
        <v>5.9210380328048262E-2</v>
      </c>
      <c r="D43" s="12">
        <f t="shared" si="7"/>
        <v>2.1352213681228305E-2</v>
      </c>
      <c r="E43" s="12">
        <f t="shared" si="7"/>
        <v>4.9385798923761673E-2</v>
      </c>
      <c r="F43" s="12">
        <f t="shared" si="7"/>
        <v>4.9781478020976322E-2</v>
      </c>
      <c r="G43" s="12">
        <f t="shared" si="7"/>
        <v>0.16803063343635949</v>
      </c>
      <c r="H43" s="12">
        <f t="shared" si="7"/>
        <v>5.6066467372442197E-2</v>
      </c>
      <c r="I43" s="12">
        <f t="shared" si="7"/>
        <v>6.8044548677670555E-2</v>
      </c>
      <c r="J43" s="12">
        <f t="shared" si="7"/>
        <v>6.5045150328022147E-2</v>
      </c>
      <c r="K43" s="12">
        <f t="shared" si="7"/>
        <v>4.1182629460350853E-2</v>
      </c>
      <c r="L43" s="12">
        <f t="shared" si="7"/>
        <v>5.4747538791233188E-2</v>
      </c>
      <c r="M43" s="12">
        <f t="shared" si="7"/>
        <v>6.712753800446683E-2</v>
      </c>
      <c r="N43" s="12">
        <f t="shared" si="7"/>
        <v>5.4106333725923869E-2</v>
      </c>
      <c r="O43" s="12">
        <f t="shared" si="7"/>
        <v>4.0847953329620997E-2</v>
      </c>
      <c r="P43" s="12">
        <f t="shared" si="7"/>
        <v>5.4851264934279137E-2</v>
      </c>
      <c r="Q43" s="12">
        <f t="shared" si="7"/>
        <v>7.5353747691488504E-2</v>
      </c>
      <c r="R43" s="12">
        <f t="shared" si="7"/>
        <v>3.8502532616865329E-2</v>
      </c>
      <c r="S43" s="12">
        <f t="shared" si="7"/>
        <v>8.9297377912516518E-2</v>
      </c>
      <c r="T43" s="12">
        <f t="shared" si="7"/>
        <v>7.2474416356720417E-2</v>
      </c>
      <c r="U43" s="12">
        <f t="shared" si="7"/>
        <v>7.9706677574104282E-2</v>
      </c>
      <c r="V43" s="12">
        <f t="shared" si="7"/>
        <v>3.3605265820081776E-2</v>
      </c>
      <c r="W43" s="12">
        <f t="shared" si="7"/>
        <v>-3.0677206127886769E-3</v>
      </c>
      <c r="X43" s="12">
        <f t="shared" si="7"/>
        <v>1.739713905805497E-3</v>
      </c>
      <c r="Y43" s="12">
        <f t="shared" si="7"/>
        <v>-7.5615923800689017E-2</v>
      </c>
    </row>
    <row r="44" spans="1:26" x14ac:dyDescent="0.3">
      <c r="A44" t="s">
        <v>31</v>
      </c>
      <c r="B44" s="12">
        <f t="shared" si="7"/>
        <v>6.8589062895624109E-2</v>
      </c>
      <c r="C44" s="12">
        <f t="shared" si="7"/>
        <v>6.0990976767255442E-2</v>
      </c>
      <c r="D44" s="12">
        <f t="shared" si="7"/>
        <v>0.10302739987675399</v>
      </c>
      <c r="E44" s="12">
        <f t="shared" si="7"/>
        <v>5.8121982751377976E-2</v>
      </c>
      <c r="F44" s="12">
        <f t="shared" si="7"/>
        <v>3.6263211352733582E-2</v>
      </c>
      <c r="G44" s="12">
        <f t="shared" si="7"/>
        <v>0.11729623686616443</v>
      </c>
      <c r="H44" s="12">
        <f t="shared" si="7"/>
        <v>5.8676561101640115E-2</v>
      </c>
      <c r="I44" s="12">
        <f t="shared" si="7"/>
        <v>4.7280702875324612E-2</v>
      </c>
      <c r="J44" s="12">
        <f t="shared" si="7"/>
        <v>5.0005813414691236E-2</v>
      </c>
      <c r="K44" s="12">
        <f t="shared" si="7"/>
        <v>7.9422926556258294E-2</v>
      </c>
      <c r="L44" s="12">
        <f t="shared" si="7"/>
        <v>6.5759635567521124E-2</v>
      </c>
      <c r="M44" s="12">
        <f t="shared" si="7"/>
        <v>5.6001568530265028E-2</v>
      </c>
      <c r="N44" s="12">
        <f t="shared" si="7"/>
        <v>6.0321009489058386E-2</v>
      </c>
      <c r="O44" s="12">
        <f t="shared" si="7"/>
        <v>5.040571176091134E-2</v>
      </c>
      <c r="P44" s="12">
        <f t="shared" si="7"/>
        <v>5.234883601178017E-2</v>
      </c>
      <c r="Q44" s="12">
        <f t="shared" si="7"/>
        <v>9.476960261474604E-2</v>
      </c>
      <c r="R44" s="12">
        <f t="shared" si="7"/>
        <v>5.7567448668652516E-2</v>
      </c>
      <c r="S44" s="12">
        <f t="shared" si="7"/>
        <v>7.2167150431205376E-2</v>
      </c>
      <c r="T44" s="12">
        <f t="shared" si="7"/>
        <v>6.3768374562961264E-2</v>
      </c>
      <c r="U44" s="12">
        <f t="shared" si="7"/>
        <v>4.5670157794832508E-2</v>
      </c>
      <c r="V44" s="12">
        <f t="shared" si="7"/>
        <v>5.9263491277029456E-2</v>
      </c>
      <c r="W44" s="12">
        <f t="shared" si="7"/>
        <v>-1.2976631492889468E-3</v>
      </c>
      <c r="X44" s="12">
        <f t="shared" si="7"/>
        <v>-9.9285156152477405E-3</v>
      </c>
      <c r="Y44" s="12">
        <f t="shared" si="7"/>
        <v>-8.3493796634428283E-2</v>
      </c>
    </row>
    <row r="45" spans="1:26" x14ac:dyDescent="0.3">
      <c r="A45" t="s">
        <v>33</v>
      </c>
      <c r="B45" s="12">
        <f t="shared" si="7"/>
        <v>6.304436542490216E-2</v>
      </c>
      <c r="C45" s="12">
        <f t="shared" si="7"/>
        <v>6.6489747779981428E-2</v>
      </c>
      <c r="D45" s="12">
        <f t="shared" si="7"/>
        <v>4.5411797632187556E-2</v>
      </c>
      <c r="E45" s="12">
        <f t="shared" si="7"/>
        <v>6.9158715950857541E-2</v>
      </c>
      <c r="F45" s="12">
        <f t="shared" si="7"/>
        <v>9.7284195758500724E-2</v>
      </c>
      <c r="G45" s="12">
        <f t="shared" si="7"/>
        <v>0.16798545362459805</v>
      </c>
      <c r="H45" s="12">
        <f t="shared" si="7"/>
        <v>4.6502424720613569E-2</v>
      </c>
      <c r="I45" s="12">
        <f t="shared" si="7"/>
        <v>9.3214899757535122E-2</v>
      </c>
      <c r="J45" s="12">
        <f t="shared" si="7"/>
        <v>4.0871800794576696E-2</v>
      </c>
      <c r="K45" s="12">
        <f t="shared" si="7"/>
        <v>0.2123367628488762</v>
      </c>
      <c r="L45" s="12">
        <f t="shared" si="7"/>
        <v>7.0348212637948881E-2</v>
      </c>
      <c r="M45" s="12">
        <f t="shared" si="7"/>
        <v>6.35828772325958E-2</v>
      </c>
      <c r="N45" s="12">
        <f t="shared" si="7"/>
        <v>7.2559908307069251E-2</v>
      </c>
      <c r="O45" s="12">
        <f t="shared" si="7"/>
        <v>2.9476942494129077E-2</v>
      </c>
      <c r="P45" s="12">
        <f t="shared" si="7"/>
        <v>8.0501603686812917E-2</v>
      </c>
      <c r="Q45" s="12">
        <f t="shared" si="7"/>
        <v>1.6349746357010364E-2</v>
      </c>
      <c r="R45" s="12">
        <f t="shared" si="7"/>
        <v>7.7431565061967106E-2</v>
      </c>
      <c r="S45" s="12">
        <f t="shared" si="7"/>
        <v>8.8741483256007531E-2</v>
      </c>
      <c r="T45" s="12">
        <f t="shared" si="7"/>
        <v>6.2528235905209839E-2</v>
      </c>
      <c r="U45" s="12">
        <f t="shared" si="7"/>
        <v>4.1885495764493269E-2</v>
      </c>
      <c r="V45" s="12">
        <f t="shared" si="7"/>
        <v>6.3011358944223828E-2</v>
      </c>
      <c r="W45" s="12">
        <f t="shared" si="7"/>
        <v>3.9424831946917038E-3</v>
      </c>
      <c r="X45" s="12">
        <f t="shared" si="7"/>
        <v>1.0105117633581739E-3</v>
      </c>
      <c r="Y45" s="12">
        <f t="shared" si="7"/>
        <v>-8.2785649016456436E-2</v>
      </c>
    </row>
    <row r="46" spans="1:26" x14ac:dyDescent="0.3">
      <c r="A46" t="s">
        <v>35</v>
      </c>
      <c r="B46" s="12">
        <f t="shared" si="7"/>
        <v>7.4611636040146811E-2</v>
      </c>
      <c r="C46" s="12">
        <f t="shared" si="7"/>
        <v>6.9465395008405512E-2</v>
      </c>
      <c r="D46" s="12">
        <f t="shared" si="7"/>
        <v>5.1965298207338056E-2</v>
      </c>
      <c r="E46" s="12">
        <f t="shared" si="7"/>
        <v>5.4263572185310915E-2</v>
      </c>
      <c r="F46" s="12">
        <f t="shared" si="7"/>
        <v>0.11025331126338422</v>
      </c>
      <c r="G46" s="12">
        <f t="shared" si="7"/>
        <v>-5.7694151311444009E-3</v>
      </c>
      <c r="H46" s="12">
        <f t="shared" si="7"/>
        <v>6.8261867799598475E-2</v>
      </c>
      <c r="I46" s="12">
        <f t="shared" si="7"/>
        <v>8.5347280554229576E-2</v>
      </c>
      <c r="J46" s="12">
        <f t="shared" si="7"/>
        <v>6.1482188479563368E-2</v>
      </c>
      <c r="K46" s="12">
        <f t="shared" si="7"/>
        <v>1.7538524902369963E-2</v>
      </c>
      <c r="L46" s="12">
        <f t="shared" si="7"/>
        <v>5.7697315886436951E-2</v>
      </c>
      <c r="M46" s="12">
        <f t="shared" si="7"/>
        <v>6.8049139675959977E-2</v>
      </c>
      <c r="N46" s="12">
        <f t="shared" si="7"/>
        <v>8.3247758396644611E-2</v>
      </c>
      <c r="O46" s="13">
        <f t="shared" si="7"/>
        <v>0.24879355290847949</v>
      </c>
      <c r="P46" s="12">
        <f t="shared" si="7"/>
        <v>4.8745457380114127E-2</v>
      </c>
      <c r="Q46" s="12">
        <f t="shared" si="7"/>
        <v>4.2202173521809772E-3</v>
      </c>
      <c r="R46" s="12">
        <f t="shared" si="7"/>
        <v>6.2338115277648737E-2</v>
      </c>
      <c r="S46" s="12">
        <f t="shared" si="7"/>
        <v>7.2446242403486363E-2</v>
      </c>
      <c r="T46" s="12">
        <f t="shared" si="7"/>
        <v>5.7258794395612045E-2</v>
      </c>
      <c r="U46" s="12">
        <f t="shared" si="7"/>
        <v>9.0304391670999684E-2</v>
      </c>
      <c r="V46" s="12">
        <f t="shared" si="7"/>
        <v>7.3826036815519136E-2</v>
      </c>
      <c r="W46" s="12">
        <f t="shared" si="7"/>
        <v>-2.9571590694191241E-4</v>
      </c>
      <c r="X46" s="12">
        <f t="shared" si="7"/>
        <v>-6.2033419183664673E-3</v>
      </c>
      <c r="Y46" s="13">
        <f t="shared" si="7"/>
        <v>-0.12872064486178278</v>
      </c>
    </row>
    <row r="47" spans="1:26" x14ac:dyDescent="0.3">
      <c r="A47" t="s">
        <v>36</v>
      </c>
      <c r="B47" s="12">
        <f t="shared" si="7"/>
        <v>7.5708021168660211E-2</v>
      </c>
      <c r="C47" s="12">
        <f t="shared" si="7"/>
        <v>7.7525718617871608E-2</v>
      </c>
      <c r="D47" s="12">
        <f t="shared" si="7"/>
        <v>3.7516788157093001E-2</v>
      </c>
      <c r="E47" s="12">
        <f t="shared" si="7"/>
        <v>8.0412598936984603E-2</v>
      </c>
      <c r="F47" s="12">
        <f t="shared" si="7"/>
        <v>0.10672806824768277</v>
      </c>
      <c r="G47" s="13">
        <f t="shared" si="7"/>
        <v>-6.235110882703826E-2</v>
      </c>
      <c r="H47" s="12">
        <f t="shared" si="7"/>
        <v>0.10785895794616784</v>
      </c>
      <c r="I47" s="12">
        <f t="shared" si="7"/>
        <v>7.2052469523299356E-2</v>
      </c>
      <c r="J47" s="12">
        <f t="shared" si="7"/>
        <v>0.10908637386659953</v>
      </c>
      <c r="K47" s="12">
        <f t="shared" si="7"/>
        <v>7.7135871826240959E-2</v>
      </c>
      <c r="L47" s="12">
        <f t="shared" si="7"/>
        <v>7.5462911656813486E-2</v>
      </c>
      <c r="M47" s="12">
        <f t="shared" si="7"/>
        <v>0.17740571329578128</v>
      </c>
      <c r="N47" s="12">
        <f t="shared" si="7"/>
        <v>9.8799216128023698E-2</v>
      </c>
      <c r="O47" s="13">
        <f t="shared" si="7"/>
        <v>9.3893442971289709E-2</v>
      </c>
      <c r="P47" s="13">
        <f t="shared" si="7"/>
        <v>-0.23644716201298635</v>
      </c>
      <c r="Q47" s="13">
        <f t="shared" si="7"/>
        <v>-0.19069331401542591</v>
      </c>
      <c r="R47" s="12">
        <f t="shared" si="7"/>
        <v>6.7840676537963135E-2</v>
      </c>
      <c r="S47" s="12">
        <f t="shared" si="7"/>
        <v>7.2599730114597097E-2</v>
      </c>
      <c r="T47" s="12">
        <f t="shared" si="7"/>
        <v>6.4307673667759885E-2</v>
      </c>
      <c r="U47" s="12">
        <f t="shared" si="7"/>
        <v>5.9120596219922938E-2</v>
      </c>
      <c r="V47" s="12">
        <f t="shared" si="7"/>
        <v>-0.22970615285685422</v>
      </c>
      <c r="W47" s="12">
        <f t="shared" si="7"/>
        <v>7.1861647432786002E-4</v>
      </c>
      <c r="X47" s="12">
        <f t="shared" si="7"/>
        <v>1.3381631864450572E-2</v>
      </c>
      <c r="Y47" s="12">
        <f t="shared" si="7"/>
        <v>0.3706160143133565</v>
      </c>
    </row>
    <row r="48" spans="1:26" x14ac:dyDescent="0.3">
      <c r="A48" t="s">
        <v>38</v>
      </c>
      <c r="B48" s="12">
        <f t="shared" si="7"/>
        <v>0</v>
      </c>
      <c r="C48" s="12">
        <f t="shared" si="7"/>
        <v>0</v>
      </c>
      <c r="D48" s="12">
        <f t="shared" si="7"/>
        <v>0</v>
      </c>
      <c r="E48" s="12">
        <f t="shared" si="7"/>
        <v>0</v>
      </c>
      <c r="F48" s="12">
        <f t="shared" si="7"/>
        <v>0</v>
      </c>
      <c r="G48" s="12">
        <f t="shared" si="7"/>
        <v>0</v>
      </c>
      <c r="H48" s="12">
        <f t="shared" si="7"/>
        <v>0</v>
      </c>
      <c r="I48" s="12">
        <f t="shared" si="7"/>
        <v>0</v>
      </c>
      <c r="J48" s="12">
        <f t="shared" si="7"/>
        <v>0</v>
      </c>
      <c r="K48" s="12">
        <f t="shared" si="7"/>
        <v>0</v>
      </c>
      <c r="L48" s="12">
        <f t="shared" si="7"/>
        <v>0</v>
      </c>
      <c r="M48" s="12">
        <f t="shared" si="7"/>
        <v>0</v>
      </c>
      <c r="N48" s="12">
        <f t="shared" si="7"/>
        <v>0</v>
      </c>
      <c r="O48" s="12">
        <f t="shared" si="7"/>
        <v>0</v>
      </c>
      <c r="P48" s="12">
        <f t="shared" si="7"/>
        <v>0</v>
      </c>
      <c r="Q48" s="12">
        <f t="shared" si="7"/>
        <v>0</v>
      </c>
      <c r="R48" s="12">
        <f t="shared" si="7"/>
        <v>0</v>
      </c>
      <c r="S48" s="12">
        <f t="shared" si="7"/>
        <v>0</v>
      </c>
      <c r="T48" s="12">
        <f t="shared" si="7"/>
        <v>0</v>
      </c>
      <c r="U48" s="12">
        <f t="shared" si="7"/>
        <v>0</v>
      </c>
      <c r="V48" s="12">
        <f t="shared" si="7"/>
        <v>0</v>
      </c>
      <c r="W48" s="12">
        <f t="shared" si="7"/>
        <v>0</v>
      </c>
      <c r="X48" s="12">
        <f t="shared" si="7"/>
        <v>0</v>
      </c>
      <c r="Y48" s="12">
        <f t="shared" si="7"/>
        <v>0</v>
      </c>
    </row>
    <row r="51" spans="1:27" x14ac:dyDescent="0.3">
      <c r="A51" s="10" t="s">
        <v>49</v>
      </c>
      <c r="B51" s="11" t="s">
        <v>52</v>
      </c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7" x14ac:dyDescent="0.3">
      <c r="A52" s="1" t="s">
        <v>0</v>
      </c>
    </row>
    <row r="53" spans="1:27" x14ac:dyDescent="0.3">
      <c r="A53" t="s">
        <v>1</v>
      </c>
      <c r="B53" t="s">
        <v>2</v>
      </c>
      <c r="C53" t="s">
        <v>3</v>
      </c>
      <c r="D53" t="s">
        <v>4</v>
      </c>
      <c r="E53" t="s">
        <v>5</v>
      </c>
      <c r="F53" t="s">
        <v>6</v>
      </c>
      <c r="G53" t="s">
        <v>7</v>
      </c>
      <c r="H53" t="s">
        <v>8</v>
      </c>
      <c r="I53" t="s">
        <v>9</v>
      </c>
      <c r="J53" t="s">
        <v>10</v>
      </c>
      <c r="K53" t="s">
        <v>11</v>
      </c>
      <c r="L53" t="s">
        <v>12</v>
      </c>
      <c r="M53" t="s">
        <v>13</v>
      </c>
      <c r="N53" t="s">
        <v>14</v>
      </c>
      <c r="O53" t="s">
        <v>15</v>
      </c>
      <c r="P53" t="s">
        <v>16</v>
      </c>
      <c r="Q53" t="s">
        <v>17</v>
      </c>
      <c r="R53" t="s">
        <v>18</v>
      </c>
      <c r="S53" t="s">
        <v>19</v>
      </c>
      <c r="T53" t="s">
        <v>20</v>
      </c>
      <c r="U53" t="s">
        <v>21</v>
      </c>
      <c r="V53" t="s">
        <v>22</v>
      </c>
      <c r="W53" t="s">
        <v>23</v>
      </c>
      <c r="X53" t="s">
        <v>24</v>
      </c>
      <c r="Y53" t="s">
        <v>25</v>
      </c>
      <c r="Z53" t="s">
        <v>26</v>
      </c>
    </row>
    <row r="54" spans="1:27" x14ac:dyDescent="0.3">
      <c r="A54" t="s">
        <v>30</v>
      </c>
      <c r="B54" s="7">
        <f t="shared" ref="B54:Z58" si="8">B3/$Z3</f>
        <v>6.8478183990797858E-2</v>
      </c>
      <c r="C54" s="7">
        <f t="shared" si="8"/>
        <v>0.1186246663663809</v>
      </c>
      <c r="D54" s="7">
        <f t="shared" si="8"/>
        <v>8.5001098152498011E-2</v>
      </c>
      <c r="E54" s="7">
        <f t="shared" si="8"/>
        <v>4.1860828714268168E-2</v>
      </c>
      <c r="F54" s="7">
        <f t="shared" si="8"/>
        <v>1.016219154013096E-2</v>
      </c>
      <c r="G54" s="7">
        <f t="shared" si="8"/>
        <v>9.8945401346818888E-4</v>
      </c>
      <c r="H54" s="7">
        <f t="shared" si="8"/>
        <v>3.3293377954309408E-2</v>
      </c>
      <c r="I54" s="7">
        <f t="shared" si="8"/>
        <v>1.6208730870741869E-2</v>
      </c>
      <c r="J54" s="7">
        <f t="shared" si="8"/>
        <v>6.4199111799369398E-3</v>
      </c>
      <c r="K54" s="7">
        <f t="shared" si="8"/>
        <v>6.899747983308082E-3</v>
      </c>
      <c r="L54" s="7">
        <f t="shared" si="8"/>
        <v>2.3610278707381447E-2</v>
      </c>
      <c r="M54" s="7">
        <f t="shared" si="8"/>
        <v>4.4614771826246215E-2</v>
      </c>
      <c r="N54" s="7">
        <f t="shared" si="8"/>
        <v>0.22784616930905735</v>
      </c>
      <c r="O54" s="7">
        <f t="shared" si="8"/>
        <v>7.6673379666682799E-3</v>
      </c>
      <c r="P54" s="7">
        <f t="shared" si="8"/>
        <v>2.9602841050801652E-2</v>
      </c>
      <c r="Q54" s="7">
        <f t="shared" si="8"/>
        <v>2.0395856056404089E-3</v>
      </c>
      <c r="R54" s="7">
        <f t="shared" si="8"/>
        <v>5.3003167890765465E-2</v>
      </c>
      <c r="S54" s="7">
        <f t="shared" si="8"/>
        <v>1.0187504885847978E-2</v>
      </c>
      <c r="T54" s="7">
        <f t="shared" si="8"/>
        <v>1.6620817248811575E-2</v>
      </c>
      <c r="U54" s="7">
        <f t="shared" si="8"/>
        <v>6.3034325641302444E-2</v>
      </c>
      <c r="V54" s="7">
        <f t="shared" si="8"/>
        <v>5.5431387804178937E-2</v>
      </c>
      <c r="W54" s="7">
        <f t="shared" si="8"/>
        <v>5.7117703335033299E-2</v>
      </c>
      <c r="X54" s="7">
        <f t="shared" si="8"/>
        <v>5.6314749118686084E-3</v>
      </c>
      <c r="Y54" s="7">
        <f t="shared" si="8"/>
        <v>1.5654815305640037E-2</v>
      </c>
      <c r="Z54" s="7">
        <f t="shared" si="8"/>
        <v>1</v>
      </c>
    </row>
    <row r="55" spans="1:27" x14ac:dyDescent="0.3">
      <c r="A55" t="s">
        <v>31</v>
      </c>
      <c r="B55" s="7">
        <f t="shared" si="8"/>
        <v>5.9396792328758378E-2</v>
      </c>
      <c r="C55" s="7">
        <f t="shared" si="8"/>
        <v>9.6897404892992145E-2</v>
      </c>
      <c r="D55" s="7">
        <f t="shared" si="8"/>
        <v>0.20163534706464917</v>
      </c>
      <c r="E55" s="7">
        <f t="shared" si="8"/>
        <v>3.8298085722523786E-2</v>
      </c>
      <c r="F55" s="7">
        <f t="shared" si="8"/>
        <v>6.1410276719482048E-3</v>
      </c>
      <c r="G55" s="7">
        <f t="shared" si="8"/>
        <v>5.282298090281141E-4</v>
      </c>
      <c r="H55" s="7">
        <f t="shared" si="8"/>
        <v>2.3995138234379043E-2</v>
      </c>
      <c r="I55" s="7">
        <f t="shared" si="8"/>
        <v>9.3246522059720165E-3</v>
      </c>
      <c r="J55" s="7">
        <f t="shared" si="8"/>
        <v>4.0825269328823343E-3</v>
      </c>
      <c r="K55" s="7">
        <f t="shared" si="8"/>
        <v>1.0552629809483976E-2</v>
      </c>
      <c r="L55" s="7">
        <f t="shared" si="8"/>
        <v>2.2800495521728081E-2</v>
      </c>
      <c r="M55" s="7">
        <f t="shared" si="8"/>
        <v>2.7537468987154954E-2</v>
      </c>
      <c r="N55" s="7">
        <f t="shared" si="8"/>
        <v>0.19370392234850858</v>
      </c>
      <c r="O55" s="7">
        <f t="shared" si="8"/>
        <v>9.3388978858271448E-3</v>
      </c>
      <c r="P55" s="7">
        <f t="shared" si="8"/>
        <v>2.621148110623972E-2</v>
      </c>
      <c r="Q55" s="7">
        <f t="shared" si="8"/>
        <v>9.0374593000926541E-4</v>
      </c>
      <c r="R55" s="7">
        <f t="shared" si="8"/>
        <v>6.1041598524831361E-2</v>
      </c>
      <c r="S55" s="7">
        <f t="shared" si="8"/>
        <v>6.2965904959661929E-3</v>
      </c>
      <c r="T55" s="7">
        <f t="shared" si="8"/>
        <v>1.0702209447962812E-2</v>
      </c>
      <c r="U55" s="7">
        <f t="shared" si="8"/>
        <v>4.1722462246099247E-2</v>
      </c>
      <c r="V55" s="7">
        <f t="shared" si="8"/>
        <v>6.0252102947260217E-2</v>
      </c>
      <c r="W55" s="7">
        <f t="shared" si="8"/>
        <v>6.1767843283845741E-2</v>
      </c>
      <c r="X55" s="7">
        <f t="shared" si="8"/>
        <v>1.3563311790066545E-2</v>
      </c>
      <c r="Y55" s="7">
        <f t="shared" si="8"/>
        <v>1.3305749898285845E-2</v>
      </c>
      <c r="Z55" s="7">
        <f t="shared" si="8"/>
        <v>1</v>
      </c>
    </row>
    <row r="56" spans="1:27" x14ac:dyDescent="0.3">
      <c r="A56" t="s">
        <v>33</v>
      </c>
      <c r="B56" s="7">
        <f t="shared" si="8"/>
        <v>5.2439756328811128E-2</v>
      </c>
      <c r="C56" s="7">
        <f t="shared" si="8"/>
        <v>9.661708666321718E-2</v>
      </c>
      <c r="D56" s="7">
        <f t="shared" si="8"/>
        <v>0.11759973704472111</v>
      </c>
      <c r="E56" s="7">
        <f t="shared" si="8"/>
        <v>3.7776625605823816E-2</v>
      </c>
      <c r="F56" s="7">
        <f t="shared" si="8"/>
        <v>1.2406554798208973E-2</v>
      </c>
      <c r="G56" s="7">
        <f t="shared" si="8"/>
        <v>6.9929867170154681E-4</v>
      </c>
      <c r="H56" s="7">
        <f t="shared" si="8"/>
        <v>2.1179814123091854E-2</v>
      </c>
      <c r="I56" s="7">
        <f t="shared" si="8"/>
        <v>1.4153615331958634E-2</v>
      </c>
      <c r="J56" s="7">
        <f t="shared" si="8"/>
        <v>3.7287142894421718E-3</v>
      </c>
      <c r="K56" s="7">
        <f t="shared" si="8"/>
        <v>1.5120455711830958E-2</v>
      </c>
      <c r="L56" s="7">
        <f t="shared" si="8"/>
        <v>2.216536924314164E-2</v>
      </c>
      <c r="M56" s="7">
        <f t="shared" si="8"/>
        <v>2.9601183615060464E-2</v>
      </c>
      <c r="N56" s="7">
        <f t="shared" si="8"/>
        <v>0.21231978166487911</v>
      </c>
      <c r="O56" s="7">
        <f t="shared" si="8"/>
        <v>6.6036674037462696E-3</v>
      </c>
      <c r="P56" s="7">
        <f t="shared" si="8"/>
        <v>2.8585315887680984E-2</v>
      </c>
      <c r="Q56" s="7">
        <f t="shared" si="8"/>
        <v>9.892453505073145E-4</v>
      </c>
      <c r="R56" s="7">
        <f t="shared" si="8"/>
        <v>6.0298365676006729E-2</v>
      </c>
      <c r="S56" s="7">
        <f t="shared" si="8"/>
        <v>7.3203628761761624E-3</v>
      </c>
      <c r="T56" s="7">
        <f t="shared" si="8"/>
        <v>1.0700350387381942E-2</v>
      </c>
      <c r="U56" s="7">
        <f t="shared" si="8"/>
        <v>4.6693013154880815E-2</v>
      </c>
      <c r="V56" s="7">
        <f t="shared" si="8"/>
        <v>7.2375962787716061E-2</v>
      </c>
      <c r="W56" s="7">
        <f t="shared" si="8"/>
        <v>8.757391333915511E-2</v>
      </c>
      <c r="X56" s="7">
        <f t="shared" si="8"/>
        <v>1.4890079896125284E-2</v>
      </c>
      <c r="Y56" s="7">
        <f t="shared" si="8"/>
        <v>2.8161730148734739E-2</v>
      </c>
      <c r="Z56" s="7">
        <f t="shared" si="8"/>
        <v>1</v>
      </c>
    </row>
    <row r="57" spans="1:27" x14ac:dyDescent="0.3">
      <c r="A57" t="s">
        <v>35</v>
      </c>
      <c r="B57" s="7">
        <f t="shared" si="8"/>
        <v>5.761744671139192E-2</v>
      </c>
      <c r="C57" s="7">
        <f t="shared" si="8"/>
        <v>9.5184368245691736E-2</v>
      </c>
      <c r="D57" s="7">
        <f t="shared" si="8"/>
        <v>0.12662487953587237</v>
      </c>
      <c r="E57" s="7">
        <f t="shared" si="8"/>
        <v>3.0019147864007955E-2</v>
      </c>
      <c r="F57" s="7">
        <f t="shared" si="8"/>
        <v>1.0579856656929374E-2</v>
      </c>
      <c r="G57" s="7">
        <f t="shared" si="8"/>
        <v>2.3609895837432273E-4</v>
      </c>
      <c r="H57" s="7">
        <f t="shared" si="8"/>
        <v>2.3506632353618051E-2</v>
      </c>
      <c r="I57" s="7">
        <f t="shared" si="8"/>
        <v>1.5672439643924615E-2</v>
      </c>
      <c r="J57" s="7">
        <f t="shared" si="8"/>
        <v>3.973378530782415E-3</v>
      </c>
      <c r="K57" s="7">
        <f t="shared" si="8"/>
        <v>2.7547263314967696E-3</v>
      </c>
      <c r="L57" s="7">
        <f t="shared" si="8"/>
        <v>1.7540721704434152E-2</v>
      </c>
      <c r="M57" s="7">
        <f t="shared" si="8"/>
        <v>2.8840322458710703E-2</v>
      </c>
      <c r="N57" s="7">
        <f t="shared" si="8"/>
        <v>0.22143625912409196</v>
      </c>
      <c r="O57" s="7">
        <f t="shared" si="8"/>
        <v>2.6621707701381083E-2</v>
      </c>
      <c r="P57" s="7">
        <f t="shared" si="8"/>
        <v>2.4112619680112145E-2</v>
      </c>
      <c r="Q57" s="7">
        <f t="shared" si="8"/>
        <v>1.0874861112999108E-3</v>
      </c>
      <c r="R57" s="7">
        <f t="shared" si="8"/>
        <v>5.6853583111722263E-2</v>
      </c>
      <c r="S57" s="7">
        <f t="shared" si="8"/>
        <v>5.7333889477546394E-3</v>
      </c>
      <c r="T57" s="7">
        <f t="shared" si="8"/>
        <v>9.6514392377867082E-3</v>
      </c>
      <c r="U57" s="7">
        <f t="shared" si="8"/>
        <v>4.9468932358125391E-2</v>
      </c>
      <c r="V57" s="7">
        <f t="shared" si="8"/>
        <v>6.5199800532152741E-2</v>
      </c>
      <c r="W57" s="7">
        <f t="shared" si="8"/>
        <v>9.3129830340242442E-2</v>
      </c>
      <c r="X57" s="7">
        <f t="shared" si="8"/>
        <v>1.5717751565228776E-2</v>
      </c>
      <c r="Y57" s="7">
        <f t="shared" si="8"/>
        <v>1.8437182294867568E-2</v>
      </c>
      <c r="Z57" s="7">
        <f t="shared" si="8"/>
        <v>1</v>
      </c>
    </row>
    <row r="58" spans="1:27" x14ac:dyDescent="0.3">
      <c r="A58" t="s">
        <v>36</v>
      </c>
      <c r="B58" s="7">
        <f t="shared" si="8"/>
        <v>5.3635837222768719E-2</v>
      </c>
      <c r="C58" s="7">
        <f t="shared" si="8"/>
        <v>0.10007973539461594</v>
      </c>
      <c r="D58" s="7">
        <f t="shared" si="8"/>
        <v>9.2798676342938258E-2</v>
      </c>
      <c r="E58" s="7">
        <f t="shared" si="8"/>
        <v>3.2856248763628776E-2</v>
      </c>
      <c r="F58" s="7">
        <f t="shared" si="8"/>
        <v>1.1209540701171861E-2</v>
      </c>
      <c r="G58" s="7">
        <f t="shared" si="8"/>
        <v>3.6638222533091989E-4</v>
      </c>
      <c r="H58" s="7">
        <f t="shared" si="8"/>
        <v>2.7763355791123424E-2</v>
      </c>
      <c r="I58" s="7">
        <f t="shared" si="8"/>
        <v>1.1793771817240084E-2</v>
      </c>
      <c r="J58" s="7">
        <f t="shared" si="8"/>
        <v>6.5073354087491087E-3</v>
      </c>
      <c r="K58" s="7">
        <f t="shared" si="8"/>
        <v>5.2668570143854536E-3</v>
      </c>
      <c r="L58" s="7">
        <f t="shared" si="8"/>
        <v>1.8362771064896238E-2</v>
      </c>
      <c r="M58" s="7">
        <f t="shared" si="8"/>
        <v>4.4306143406233942E-2</v>
      </c>
      <c r="N58" s="7">
        <f t="shared" si="8"/>
        <v>0.23942493294057518</v>
      </c>
      <c r="O58" s="7">
        <f t="shared" si="8"/>
        <v>1.8516480561149937E-2</v>
      </c>
      <c r="P58" s="7">
        <f t="shared" si="8"/>
        <v>0</v>
      </c>
      <c r="Q58" s="7">
        <f t="shared" si="8"/>
        <v>0</v>
      </c>
      <c r="R58" s="7">
        <f t="shared" si="8"/>
        <v>5.4280606925209189E-2</v>
      </c>
      <c r="S58" s="7">
        <f t="shared" si="8"/>
        <v>5.5490703501133243E-3</v>
      </c>
      <c r="T58" s="7">
        <f t="shared" si="8"/>
        <v>9.4667495752734313E-3</v>
      </c>
      <c r="U58" s="7">
        <f t="shared" si="8"/>
        <v>4.3058238345140609E-2</v>
      </c>
      <c r="V58" s="7">
        <f t="shared" si="8"/>
        <v>0</v>
      </c>
      <c r="W58" s="7">
        <f t="shared" si="8"/>
        <v>0.11854873029879731</v>
      </c>
      <c r="X58" s="7">
        <f t="shared" si="8"/>
        <v>1.5430588009714081E-2</v>
      </c>
      <c r="Y58" s="7">
        <f t="shared" si="8"/>
        <v>9.0777947840944201E-2</v>
      </c>
      <c r="Z58" s="7">
        <f t="shared" si="8"/>
        <v>1</v>
      </c>
    </row>
    <row r="60" spans="1:27" x14ac:dyDescent="0.3">
      <c r="A60" s="1" t="s">
        <v>41</v>
      </c>
    </row>
    <row r="61" spans="1:27" x14ac:dyDescent="0.3">
      <c r="A61" t="s">
        <v>1</v>
      </c>
      <c r="B61" t="s">
        <v>2</v>
      </c>
      <c r="C61" t="s">
        <v>3</v>
      </c>
      <c r="D61" t="s">
        <v>4</v>
      </c>
      <c r="E61" t="s">
        <v>5</v>
      </c>
      <c r="F61" t="s">
        <v>6</v>
      </c>
      <c r="G61" t="s">
        <v>7</v>
      </c>
      <c r="H61" t="s">
        <v>8</v>
      </c>
      <c r="I61" t="s">
        <v>9</v>
      </c>
      <c r="J61" t="s">
        <v>10</v>
      </c>
      <c r="K61" t="s">
        <v>11</v>
      </c>
      <c r="L61" t="s">
        <v>12</v>
      </c>
      <c r="M61" t="s">
        <v>13</v>
      </c>
      <c r="N61" t="s">
        <v>14</v>
      </c>
      <c r="O61" t="s">
        <v>15</v>
      </c>
      <c r="P61" t="s">
        <v>16</v>
      </c>
      <c r="Q61" t="s">
        <v>17</v>
      </c>
      <c r="R61" t="s">
        <v>18</v>
      </c>
      <c r="S61" t="s">
        <v>19</v>
      </c>
      <c r="T61" t="s">
        <v>20</v>
      </c>
      <c r="U61" t="s">
        <v>21</v>
      </c>
      <c r="V61" t="s">
        <v>22</v>
      </c>
      <c r="W61" t="s">
        <v>23</v>
      </c>
      <c r="X61" t="s">
        <v>24</v>
      </c>
      <c r="Y61" t="s">
        <v>25</v>
      </c>
      <c r="Z61" t="s">
        <v>42</v>
      </c>
      <c r="AA61" t="s">
        <v>26</v>
      </c>
    </row>
    <row r="62" spans="1:27" x14ac:dyDescent="0.3">
      <c r="A62" t="s">
        <v>30</v>
      </c>
      <c r="B62" s="7">
        <f t="shared" ref="B62:AA66" si="9">B13/$AA13</f>
        <v>6.823916372959879E-2</v>
      </c>
      <c r="C62" s="7">
        <f t="shared" si="9"/>
        <v>0.1172094822669779</v>
      </c>
      <c r="D62" s="7">
        <f t="shared" si="9"/>
        <v>8.4213650797297659E-2</v>
      </c>
      <c r="E62" s="7">
        <f t="shared" si="9"/>
        <v>4.4777701234698743E-2</v>
      </c>
      <c r="F62" s="7">
        <f t="shared" si="9"/>
        <v>1.0601237033328603E-2</v>
      </c>
      <c r="G62" s="7">
        <f t="shared" si="9"/>
        <v>9.894191442599053E-4</v>
      </c>
      <c r="H62" s="7">
        <f t="shared" si="9"/>
        <v>3.5149948880010877E-2</v>
      </c>
      <c r="I62" s="7">
        <f t="shared" si="9"/>
        <v>1.5733617238571931E-2</v>
      </c>
      <c r="J62" s="7">
        <f t="shared" si="9"/>
        <v>6.4375241101434734E-3</v>
      </c>
      <c r="K62" s="7">
        <f t="shared" si="9"/>
        <v>9.2197559210436108E-3</v>
      </c>
      <c r="L62" s="7">
        <f t="shared" si="9"/>
        <v>2.3653417220265822E-2</v>
      </c>
      <c r="M62" s="7">
        <f t="shared" si="9"/>
        <v>4.5981309242397683E-2</v>
      </c>
      <c r="N62" s="7">
        <f t="shared" si="9"/>
        <v>0.23164451467138128</v>
      </c>
      <c r="O62" s="7">
        <f t="shared" si="9"/>
        <v>5.9291034862016794E-3</v>
      </c>
      <c r="P62" s="7">
        <f t="shared" si="9"/>
        <v>2.8453026492346083E-2</v>
      </c>
      <c r="Q62" s="7">
        <f t="shared" si="9"/>
        <v>2.1533762723948725E-3</v>
      </c>
      <c r="R62" s="7">
        <f t="shared" si="9"/>
        <v>5.3142925115793535E-2</v>
      </c>
      <c r="S62" s="7">
        <f t="shared" si="9"/>
        <v>1.0262536996679332E-2</v>
      </c>
      <c r="T62" s="7">
        <f t="shared" si="9"/>
        <v>1.7865129941861433E-2</v>
      </c>
      <c r="U62" s="7">
        <f t="shared" si="9"/>
        <v>5.088171327374337E-2</v>
      </c>
      <c r="V62" s="7">
        <f t="shared" si="9"/>
        <v>5.7603834351224528E-2</v>
      </c>
      <c r="W62" s="7">
        <f t="shared" si="9"/>
        <v>5.8626604702594315E-2</v>
      </c>
      <c r="X62" s="7">
        <f t="shared" si="9"/>
        <v>5.5681693114791519E-3</v>
      </c>
      <c r="Y62" s="7">
        <f t="shared" si="9"/>
        <v>1.5662838565705398E-2</v>
      </c>
      <c r="Z62" s="7">
        <f t="shared" si="9"/>
        <v>0</v>
      </c>
      <c r="AA62" s="7">
        <f t="shared" si="9"/>
        <v>1</v>
      </c>
    </row>
    <row r="63" spans="1:27" x14ac:dyDescent="0.3">
      <c r="A63" t="s">
        <v>31</v>
      </c>
      <c r="B63" s="7">
        <f t="shared" si="9"/>
        <v>5.9239093576048035E-2</v>
      </c>
      <c r="C63" s="7">
        <f t="shared" si="9"/>
        <v>9.9649712228422643E-2</v>
      </c>
      <c r="D63" s="7">
        <f t="shared" si="9"/>
        <v>0.17255136211107072</v>
      </c>
      <c r="E63" s="7">
        <f t="shared" si="9"/>
        <v>4.2128147474455889E-2</v>
      </c>
      <c r="F63" s="7">
        <f t="shared" si="9"/>
        <v>6.8153375381777735E-3</v>
      </c>
      <c r="G63" s="7">
        <f t="shared" si="9"/>
        <v>5.3908262049800798E-4</v>
      </c>
      <c r="H63" s="7">
        <f t="shared" si="9"/>
        <v>2.466129091158871E-2</v>
      </c>
      <c r="I63" s="7">
        <f t="shared" si="9"/>
        <v>9.6918939943297783E-3</v>
      </c>
      <c r="J63" s="7">
        <f t="shared" si="9"/>
        <v>4.3474404878871614E-3</v>
      </c>
      <c r="K63" s="7">
        <f t="shared" si="9"/>
        <v>1.4655511714033479E-2</v>
      </c>
      <c r="L63" s="7">
        <f t="shared" si="9"/>
        <v>2.3894982068257135E-2</v>
      </c>
      <c r="M63" s="7">
        <f t="shared" si="9"/>
        <v>2.8433999766977192E-2</v>
      </c>
      <c r="N63" s="7">
        <f t="shared" si="9"/>
        <v>0.20082276760380094</v>
      </c>
      <c r="O63" s="7">
        <f t="shared" si="9"/>
        <v>9.3261293346155391E-3</v>
      </c>
      <c r="P63" s="7">
        <f t="shared" si="9"/>
        <v>2.7351487085493287E-2</v>
      </c>
      <c r="Q63" s="7">
        <f t="shared" si="9"/>
        <v>6.271907477191878E-4</v>
      </c>
      <c r="R63" s="7">
        <f t="shared" si="9"/>
        <v>6.2702264668698951E-2</v>
      </c>
      <c r="S63" s="7">
        <f t="shared" si="9"/>
        <v>6.478265985683589E-3</v>
      </c>
      <c r="T63" s="7">
        <f t="shared" si="9"/>
        <v>1.1485647939632021E-2</v>
      </c>
      <c r="U63" s="7">
        <f t="shared" si="9"/>
        <v>4.2815912559639638E-2</v>
      </c>
      <c r="V63" s="7">
        <f t="shared" si="9"/>
        <v>5.9994968562208685E-2</v>
      </c>
      <c r="W63" s="7">
        <f t="shared" si="9"/>
        <v>6.3363075622857798E-2</v>
      </c>
      <c r="X63" s="7">
        <f t="shared" si="9"/>
        <v>1.4863029539988627E-2</v>
      </c>
      <c r="Y63" s="7">
        <f t="shared" si="9"/>
        <v>1.3561405857915211E-2</v>
      </c>
      <c r="Z63" s="7">
        <f t="shared" si="9"/>
        <v>0</v>
      </c>
      <c r="AA63" s="7">
        <f t="shared" si="9"/>
        <v>1</v>
      </c>
    </row>
    <row r="64" spans="1:27" x14ac:dyDescent="0.3">
      <c r="A64" t="s">
        <v>33</v>
      </c>
      <c r="B64" s="7">
        <f t="shared" si="9"/>
        <v>5.2775080311692389E-2</v>
      </c>
      <c r="C64" s="7">
        <f t="shared" si="9"/>
        <v>9.7723633348443861E-2</v>
      </c>
      <c r="D64" s="7">
        <f t="shared" si="9"/>
        <v>0.11488278909357801</v>
      </c>
      <c r="E64" s="7">
        <f t="shared" si="9"/>
        <v>3.9194705356685768E-2</v>
      </c>
      <c r="F64" s="7">
        <f t="shared" si="9"/>
        <v>1.215729765445561E-2</v>
      </c>
      <c r="G64" s="7">
        <f t="shared" si="9"/>
        <v>7.0503997481166441E-4</v>
      </c>
      <c r="H64" s="7">
        <f t="shared" si="9"/>
        <v>2.3342711761992509E-2</v>
      </c>
      <c r="I64" s="7">
        <f t="shared" si="9"/>
        <v>1.2913531276798748E-2</v>
      </c>
      <c r="J64" s="7">
        <f t="shared" si="9"/>
        <v>4.2440329559769114E-3</v>
      </c>
      <c r="K64" s="7">
        <f t="shared" si="9"/>
        <v>1.3767642909189101E-2</v>
      </c>
      <c r="L64" s="7">
        <f t="shared" si="9"/>
        <v>2.2789130713297273E-2</v>
      </c>
      <c r="M64" s="7">
        <f t="shared" si="9"/>
        <v>3.0649875503945757E-2</v>
      </c>
      <c r="N64" s="7">
        <f t="shared" si="9"/>
        <v>0.21585973895483793</v>
      </c>
      <c r="O64" s="7">
        <f t="shared" si="9"/>
        <v>7.6278534821892525E-3</v>
      </c>
      <c r="P64" s="7">
        <f t="shared" si="9"/>
        <v>2.7019635814227005E-2</v>
      </c>
      <c r="Q64" s="7">
        <f t="shared" si="9"/>
        <v>1.2753319032710619E-3</v>
      </c>
      <c r="R64" s="7">
        <f t="shared" si="9"/>
        <v>5.4893383260844364E-2</v>
      </c>
      <c r="S64" s="7">
        <f t="shared" si="9"/>
        <v>7.5623362234313587E-3</v>
      </c>
      <c r="T64" s="7">
        <f t="shared" si="9"/>
        <v>1.1923610589817132E-2</v>
      </c>
      <c r="U64" s="7">
        <f t="shared" si="9"/>
        <v>5.1817255123940351E-2</v>
      </c>
      <c r="V64" s="7">
        <f t="shared" si="9"/>
        <v>7.5701346339879669E-2</v>
      </c>
      <c r="W64" s="7">
        <f t="shared" si="9"/>
        <v>8.6324426080749625E-2</v>
      </c>
      <c r="X64" s="7">
        <f t="shared" si="9"/>
        <v>1.5260746753513727E-2</v>
      </c>
      <c r="Y64" s="7">
        <f t="shared" si="9"/>
        <v>1.9588864612430933E-2</v>
      </c>
      <c r="Z64" s="7">
        <f t="shared" si="9"/>
        <v>0</v>
      </c>
      <c r="AA64" s="7">
        <f t="shared" si="9"/>
        <v>1</v>
      </c>
    </row>
    <row r="65" spans="1:27" x14ac:dyDescent="0.3">
      <c r="A65" t="s">
        <v>35</v>
      </c>
      <c r="B65" s="7">
        <f t="shared" si="9"/>
        <v>5.8458638805473973E-2</v>
      </c>
      <c r="C65" s="7">
        <f t="shared" si="9"/>
        <v>9.7797257091435538E-2</v>
      </c>
      <c r="D65" s="7">
        <f t="shared" si="9"/>
        <v>0.12456552463989354</v>
      </c>
      <c r="E65" s="7">
        <f t="shared" si="9"/>
        <v>3.2546306225064089E-2</v>
      </c>
      <c r="F65" s="7">
        <f t="shared" si="9"/>
        <v>8.9653456195665209E-3</v>
      </c>
      <c r="G65" s="7">
        <f t="shared" si="9"/>
        <v>6.5795224245886424E-4</v>
      </c>
      <c r="H65" s="7">
        <f t="shared" si="9"/>
        <v>2.3853694348106649E-2</v>
      </c>
      <c r="I65" s="7">
        <f t="shared" si="9"/>
        <v>1.6941016432327403E-2</v>
      </c>
      <c r="J65" s="7">
        <f t="shared" si="9"/>
        <v>4.0535112200560082E-3</v>
      </c>
      <c r="K65" s="7">
        <f t="shared" si="9"/>
        <v>4.2768089865529366E-3</v>
      </c>
      <c r="L65" s="7">
        <f t="shared" si="9"/>
        <v>1.8473054049522906E-2</v>
      </c>
      <c r="M65" s="7">
        <f t="shared" si="9"/>
        <v>2.9822073473801558E-2</v>
      </c>
      <c r="N65" s="7">
        <f t="shared" si="9"/>
        <v>0.22464734476267625</v>
      </c>
      <c r="O65" s="7">
        <f t="shared" si="9"/>
        <v>1.7698079448151213E-2</v>
      </c>
      <c r="P65" s="7">
        <f t="shared" si="9"/>
        <v>2.5817042945295153E-2</v>
      </c>
      <c r="Q65" s="7">
        <f t="shared" si="9"/>
        <v>1.4828404622239885E-3</v>
      </c>
      <c r="R65" s="7">
        <f t="shared" si="9"/>
        <v>5.8109243476719953E-2</v>
      </c>
      <c r="S65" s="7">
        <f t="shared" si="9"/>
        <v>6.1200305500003103E-3</v>
      </c>
      <c r="T65" s="7">
        <f t="shared" si="9"/>
        <v>1.1105660681968096E-2</v>
      </c>
      <c r="U65" s="7">
        <f t="shared" si="9"/>
        <v>4.2353257544240422E-2</v>
      </c>
      <c r="V65" s="7">
        <f t="shared" si="9"/>
        <v>6.4705244560012642E-2</v>
      </c>
      <c r="W65" s="7">
        <f t="shared" si="9"/>
        <v>9.3258700134742883E-2</v>
      </c>
      <c r="X65" s="7">
        <f t="shared" si="9"/>
        <v>1.6488211549676945E-2</v>
      </c>
      <c r="Y65" s="7">
        <f t="shared" si="9"/>
        <v>1.7803160750032122E-2</v>
      </c>
      <c r="Z65" s="7">
        <f t="shared" si="9"/>
        <v>0</v>
      </c>
      <c r="AA65" s="7">
        <f t="shared" si="9"/>
        <v>1</v>
      </c>
    </row>
    <row r="66" spans="1:27" x14ac:dyDescent="0.3">
      <c r="A66" t="s">
        <v>36</v>
      </c>
      <c r="B66" s="7">
        <f t="shared" si="9"/>
        <v>5.3011856623091574E-2</v>
      </c>
      <c r="C66" s="7">
        <f t="shared" si="9"/>
        <v>0.10152509104805137</v>
      </c>
      <c r="D66" s="7">
        <f t="shared" si="9"/>
        <v>9.2076002463875845E-2</v>
      </c>
      <c r="E66" s="7">
        <f t="shared" si="9"/>
        <v>3.1295721665761791E-2</v>
      </c>
      <c r="F66" s="7">
        <f t="shared" si="9"/>
        <v>1.0544515671577642E-2</v>
      </c>
      <c r="G66" s="7">
        <f t="shared" si="9"/>
        <v>1.3121074199986371E-3</v>
      </c>
      <c r="H66" s="7">
        <f t="shared" si="9"/>
        <v>2.4246373332418806E-2</v>
      </c>
      <c r="I66" s="7">
        <f t="shared" si="9"/>
        <v>1.2245667840852861E-2</v>
      </c>
      <c r="J66" s="7">
        <f t="shared" si="9"/>
        <v>6.4852668508486606E-3</v>
      </c>
      <c r="K66" s="7">
        <f t="shared" si="9"/>
        <v>5.3406246005443508E-3</v>
      </c>
      <c r="L66" s="7">
        <f t="shared" si="9"/>
        <v>1.7641965702598784E-2</v>
      </c>
      <c r="M66" s="7">
        <f t="shared" si="9"/>
        <v>2.9698344455366302E-2</v>
      </c>
      <c r="N66" s="7">
        <f t="shared" si="9"/>
        <v>0.23503625220076402</v>
      </c>
      <c r="O66" s="7">
        <f t="shared" si="9"/>
        <v>2.132976252459088E-2</v>
      </c>
      <c r="P66" s="7">
        <f t="shared" si="9"/>
        <v>2.6282233148037872E-2</v>
      </c>
      <c r="Q66" s="7">
        <f t="shared" si="9"/>
        <v>9.9655137550812983E-4</v>
      </c>
      <c r="R66" s="7">
        <f t="shared" si="9"/>
        <v>5.3220074619985451E-2</v>
      </c>
      <c r="S66" s="7">
        <f t="shared" si="9"/>
        <v>5.9349923371323282E-3</v>
      </c>
      <c r="T66" s="7">
        <f t="shared" si="9"/>
        <v>1.0408895607290613E-2</v>
      </c>
      <c r="U66" s="7">
        <f t="shared" si="9"/>
        <v>4.313452931375357E-2</v>
      </c>
      <c r="V66" s="7">
        <f t="shared" si="9"/>
        <v>6.1014553881250273E-2</v>
      </c>
      <c r="W66" s="7">
        <f t="shared" si="9"/>
        <v>0.11690070963365658</v>
      </c>
      <c r="X66" s="7">
        <f t="shared" si="9"/>
        <v>1.4848281455503926E-2</v>
      </c>
      <c r="Y66" s="7">
        <f t="shared" si="9"/>
        <v>1.5426169906776237E-2</v>
      </c>
      <c r="Z66" s="7">
        <f t="shared" si="9"/>
        <v>1.0043456320763498E-2</v>
      </c>
      <c r="AA66" s="7">
        <f t="shared" si="9"/>
        <v>1</v>
      </c>
    </row>
    <row r="68" spans="1:27" x14ac:dyDescent="0.3">
      <c r="A68" s="1" t="s">
        <v>51</v>
      </c>
    </row>
    <row r="69" spans="1:27" x14ac:dyDescent="0.3">
      <c r="A69" t="s">
        <v>1</v>
      </c>
      <c r="B69" t="s">
        <v>2</v>
      </c>
      <c r="C69" t="s">
        <v>3</v>
      </c>
      <c r="D69" t="s">
        <v>4</v>
      </c>
      <c r="E69" t="s">
        <v>5</v>
      </c>
      <c r="F69" t="s">
        <v>6</v>
      </c>
      <c r="G69" t="s">
        <v>7</v>
      </c>
      <c r="H69" t="s">
        <v>8</v>
      </c>
      <c r="I69" t="s">
        <v>9</v>
      </c>
      <c r="J69" t="s">
        <v>10</v>
      </c>
      <c r="K69" t="s">
        <v>11</v>
      </c>
      <c r="L69" t="s">
        <v>12</v>
      </c>
      <c r="M69" t="s">
        <v>13</v>
      </c>
      <c r="N69" t="s">
        <v>14</v>
      </c>
      <c r="O69" t="s">
        <v>15</v>
      </c>
      <c r="P69" t="s">
        <v>16</v>
      </c>
      <c r="Q69" t="s">
        <v>17</v>
      </c>
      <c r="R69" t="s">
        <v>18</v>
      </c>
      <c r="S69" t="s">
        <v>19</v>
      </c>
      <c r="T69" t="s">
        <v>20</v>
      </c>
      <c r="U69" t="s">
        <v>21</v>
      </c>
      <c r="V69" t="s">
        <v>22</v>
      </c>
      <c r="W69" t="s">
        <v>23</v>
      </c>
      <c r="X69" t="s">
        <v>24</v>
      </c>
      <c r="Y69" t="s">
        <v>25</v>
      </c>
    </row>
    <row r="70" spans="1:27" x14ac:dyDescent="0.3">
      <c r="A70" t="s">
        <v>30</v>
      </c>
      <c r="B70" s="7">
        <f>B54-B62</f>
        <v>2.3902026119906883E-4</v>
      </c>
      <c r="C70" s="7">
        <f t="shared" ref="C70:Y74" si="10">C54-C62</f>
        <v>1.4151840994029996E-3</v>
      </c>
      <c r="D70" s="7">
        <f t="shared" si="10"/>
        <v>7.8744735520035192E-4</v>
      </c>
      <c r="E70" s="7">
        <f t="shared" si="10"/>
        <v>-2.9168725204305745E-3</v>
      </c>
      <c r="F70" s="7">
        <f t="shared" si="10"/>
        <v>-4.390454931976432E-4</v>
      </c>
      <c r="G70" s="7">
        <f t="shared" si="10"/>
        <v>3.4869208283576023E-8</v>
      </c>
      <c r="H70" s="7">
        <f t="shared" si="10"/>
        <v>-1.8565709257014687E-3</v>
      </c>
      <c r="I70" s="7">
        <f t="shared" si="10"/>
        <v>4.7511363216993716E-4</v>
      </c>
      <c r="J70" s="7">
        <f t="shared" si="10"/>
        <v>-1.7612930206533511E-5</v>
      </c>
      <c r="K70" s="7">
        <f t="shared" si="10"/>
        <v>-2.3200079377355288E-3</v>
      </c>
      <c r="L70" s="7">
        <f t="shared" si="10"/>
        <v>-4.3138512884375452E-5</v>
      </c>
      <c r="M70" s="7">
        <f t="shared" si="10"/>
        <v>-1.3665374161514685E-3</v>
      </c>
      <c r="N70" s="7">
        <f t="shared" si="10"/>
        <v>-3.7983453623239294E-3</v>
      </c>
      <c r="O70" s="7">
        <f t="shared" si="10"/>
        <v>1.7382344804666005E-3</v>
      </c>
      <c r="P70" s="7">
        <f t="shared" si="10"/>
        <v>1.149814558455569E-3</v>
      </c>
      <c r="Q70" s="7">
        <f t="shared" si="10"/>
        <v>-1.137906667544636E-4</v>
      </c>
      <c r="R70" s="7">
        <f t="shared" si="10"/>
        <v>-1.3975722502806986E-4</v>
      </c>
      <c r="S70" s="7">
        <f t="shared" si="10"/>
        <v>-7.5032110831353693E-5</v>
      </c>
      <c r="T70" s="7">
        <f t="shared" si="10"/>
        <v>-1.244312693049858E-3</v>
      </c>
      <c r="U70" s="7">
        <f t="shared" si="10"/>
        <v>1.2152612367559074E-2</v>
      </c>
      <c r="V70" s="7">
        <f t="shared" si="10"/>
        <v>-2.1724465470455909E-3</v>
      </c>
      <c r="W70" s="7">
        <f t="shared" si="10"/>
        <v>-1.5089013675610163E-3</v>
      </c>
      <c r="X70" s="7">
        <f t="shared" si="10"/>
        <v>6.3305600389456512E-5</v>
      </c>
      <c r="Y70" s="7">
        <f t="shared" si="10"/>
        <v>-8.0232600653609709E-6</v>
      </c>
    </row>
    <row r="71" spans="1:27" x14ac:dyDescent="0.3">
      <c r="A71" t="s">
        <v>31</v>
      </c>
      <c r="B71" s="7">
        <f t="shared" ref="B71:Q74" si="11">B55-B63</f>
        <v>1.5769875271034323E-4</v>
      </c>
      <c r="C71" s="7">
        <f t="shared" si="11"/>
        <v>-2.7523073354304983E-3</v>
      </c>
      <c r="D71" s="7">
        <f t="shared" si="11"/>
        <v>2.9083984953578446E-2</v>
      </c>
      <c r="E71" s="7">
        <f t="shared" si="11"/>
        <v>-3.8300617519321026E-3</v>
      </c>
      <c r="F71" s="7">
        <f t="shared" si="11"/>
        <v>-6.7430986622956865E-4</v>
      </c>
      <c r="G71" s="7">
        <f t="shared" si="11"/>
        <v>-1.0852811469893881E-5</v>
      </c>
      <c r="H71" s="7">
        <f t="shared" si="11"/>
        <v>-6.6615267720966653E-4</v>
      </c>
      <c r="I71" s="7">
        <f t="shared" si="11"/>
        <v>-3.6724178835776181E-4</v>
      </c>
      <c r="J71" s="7">
        <f t="shared" si="11"/>
        <v>-2.6491355500482712E-4</v>
      </c>
      <c r="K71" s="7">
        <f t="shared" si="11"/>
        <v>-4.1028819045495039E-3</v>
      </c>
      <c r="L71" s="7">
        <f t="shared" si="11"/>
        <v>-1.0944865465290533E-3</v>
      </c>
      <c r="M71" s="7">
        <f t="shared" si="11"/>
        <v>-8.9653077982223758E-4</v>
      </c>
      <c r="N71" s="7">
        <f t="shared" si="11"/>
        <v>-7.1188452552923553E-3</v>
      </c>
      <c r="O71" s="7">
        <f t="shared" si="11"/>
        <v>1.276855121160568E-5</v>
      </c>
      <c r="P71" s="7">
        <f t="shared" si="11"/>
        <v>-1.1400059792535666E-3</v>
      </c>
      <c r="Q71" s="7">
        <f t="shared" si="11"/>
        <v>2.7655518229007762E-4</v>
      </c>
      <c r="R71" s="7">
        <f t="shared" si="10"/>
        <v>-1.6606661438675896E-3</v>
      </c>
      <c r="S71" s="7">
        <f t="shared" si="10"/>
        <v>-1.8167548971739604E-4</v>
      </c>
      <c r="T71" s="7">
        <f t="shared" si="10"/>
        <v>-7.834384916692097E-4</v>
      </c>
      <c r="U71" s="7">
        <f t="shared" si="10"/>
        <v>-1.0934503135403909E-3</v>
      </c>
      <c r="V71" s="7">
        <f t="shared" si="10"/>
        <v>2.5713438505153147E-4</v>
      </c>
      <c r="W71" s="7">
        <f t="shared" si="10"/>
        <v>-1.5952323390120565E-3</v>
      </c>
      <c r="X71" s="7">
        <f t="shared" si="10"/>
        <v>-1.2997177499220816E-3</v>
      </c>
      <c r="Y71" s="7">
        <f t="shared" si="10"/>
        <v>-2.5565595962936602E-4</v>
      </c>
    </row>
    <row r="72" spans="1:27" x14ac:dyDescent="0.3">
      <c r="A72" t="s">
        <v>33</v>
      </c>
      <c r="B72" s="7">
        <f t="shared" si="11"/>
        <v>-3.3532398288126097E-4</v>
      </c>
      <c r="C72" s="7">
        <f t="shared" si="10"/>
        <v>-1.1065466852266809E-3</v>
      </c>
      <c r="D72" s="7">
        <f t="shared" si="10"/>
        <v>2.7169479511431061E-3</v>
      </c>
      <c r="E72" s="7">
        <f t="shared" si="10"/>
        <v>-1.4180797508619516E-3</v>
      </c>
      <c r="F72" s="7">
        <f t="shared" si="10"/>
        <v>2.4925714375336264E-4</v>
      </c>
      <c r="G72" s="7">
        <f t="shared" si="10"/>
        <v>-5.741303110117597E-6</v>
      </c>
      <c r="H72" s="7">
        <f t="shared" si="10"/>
        <v>-2.162897638900655E-3</v>
      </c>
      <c r="I72" s="7">
        <f t="shared" si="10"/>
        <v>1.240084055159886E-3</v>
      </c>
      <c r="J72" s="7">
        <f t="shared" si="10"/>
        <v>-5.1531866653473958E-4</v>
      </c>
      <c r="K72" s="7">
        <f t="shared" si="10"/>
        <v>1.3528128026418576E-3</v>
      </c>
      <c r="L72" s="7">
        <f t="shared" si="10"/>
        <v>-6.2376147015563363E-4</v>
      </c>
      <c r="M72" s="7">
        <f t="shared" si="10"/>
        <v>-1.0486918888852927E-3</v>
      </c>
      <c r="N72" s="7">
        <f t="shared" si="10"/>
        <v>-3.5399572899588172E-3</v>
      </c>
      <c r="O72" s="7">
        <f t="shared" si="10"/>
        <v>-1.0241860784429829E-3</v>
      </c>
      <c r="P72" s="7">
        <f t="shared" si="10"/>
        <v>1.5656800734539789E-3</v>
      </c>
      <c r="Q72" s="7">
        <f t="shared" si="10"/>
        <v>-2.8608655276374738E-4</v>
      </c>
      <c r="R72" s="7">
        <f t="shared" si="10"/>
        <v>5.4049824151623654E-3</v>
      </c>
      <c r="S72" s="7">
        <f t="shared" si="10"/>
        <v>-2.4197334725519631E-4</v>
      </c>
      <c r="T72" s="7">
        <f t="shared" si="10"/>
        <v>-1.2232602024351905E-3</v>
      </c>
      <c r="U72" s="7">
        <f t="shared" si="10"/>
        <v>-5.1242419690595356E-3</v>
      </c>
      <c r="V72" s="7">
        <f t="shared" si="10"/>
        <v>-3.3253835521636077E-3</v>
      </c>
      <c r="W72" s="7">
        <f t="shared" si="10"/>
        <v>1.249487258405485E-3</v>
      </c>
      <c r="X72" s="7">
        <f t="shared" si="10"/>
        <v>-3.7066685738844363E-4</v>
      </c>
      <c r="Y72" s="7">
        <f t="shared" si="10"/>
        <v>8.5728655363038059E-3</v>
      </c>
    </row>
    <row r="73" spans="1:27" x14ac:dyDescent="0.3">
      <c r="A73" t="s">
        <v>35</v>
      </c>
      <c r="B73" s="7">
        <f t="shared" si="11"/>
        <v>-8.411920940820522E-4</v>
      </c>
      <c r="C73" s="7">
        <f t="shared" si="10"/>
        <v>-2.6128888457438021E-3</v>
      </c>
      <c r="D73" s="7">
        <f t="shared" si="10"/>
        <v>2.0593548959788321E-3</v>
      </c>
      <c r="E73" s="7">
        <f t="shared" si="10"/>
        <v>-2.5271583610561345E-3</v>
      </c>
      <c r="F73" s="7">
        <f t="shared" si="10"/>
        <v>1.6145110373628532E-3</v>
      </c>
      <c r="G73" s="7">
        <f t="shared" si="10"/>
        <v>-4.2185328408454151E-4</v>
      </c>
      <c r="H73" s="7">
        <f t="shared" si="10"/>
        <v>-3.4706199448859831E-4</v>
      </c>
      <c r="I73" s="7">
        <f t="shared" si="10"/>
        <v>-1.2685767884027879E-3</v>
      </c>
      <c r="J73" s="7">
        <f t="shared" si="10"/>
        <v>-8.0132689273593183E-5</v>
      </c>
      <c r="K73" s="7">
        <f t="shared" si="10"/>
        <v>-1.522082655056167E-3</v>
      </c>
      <c r="L73" s="7">
        <f t="shared" si="10"/>
        <v>-9.3233234508875371E-4</v>
      </c>
      <c r="M73" s="7">
        <f t="shared" si="10"/>
        <v>-9.8175101509085511E-4</v>
      </c>
      <c r="N73" s="7">
        <f t="shared" si="10"/>
        <v>-3.211085638584299E-3</v>
      </c>
      <c r="O73" s="7">
        <f t="shared" si="10"/>
        <v>8.9236282532298705E-3</v>
      </c>
      <c r="P73" s="7">
        <f t="shared" si="10"/>
        <v>-1.7044232651830075E-3</v>
      </c>
      <c r="Q73" s="7">
        <f t="shared" si="10"/>
        <v>-3.9535435092407766E-4</v>
      </c>
      <c r="R73" s="7">
        <f t="shared" si="10"/>
        <v>-1.2556603649976905E-3</v>
      </c>
      <c r="S73" s="7">
        <f t="shared" si="10"/>
        <v>-3.8664160224567094E-4</v>
      </c>
      <c r="T73" s="7">
        <f t="shared" si="10"/>
        <v>-1.4542214441813882E-3</v>
      </c>
      <c r="U73" s="7">
        <f t="shared" si="10"/>
        <v>7.1156748138849688E-3</v>
      </c>
      <c r="V73" s="7">
        <f t="shared" si="10"/>
        <v>4.9455597214009828E-4</v>
      </c>
      <c r="W73" s="7">
        <f t="shared" si="10"/>
        <v>-1.2886979450044134E-4</v>
      </c>
      <c r="X73" s="7">
        <f t="shared" si="10"/>
        <v>-7.7045998444816993E-4</v>
      </c>
      <c r="Y73" s="7">
        <f t="shared" si="10"/>
        <v>6.3402154483544609E-4</v>
      </c>
    </row>
    <row r="74" spans="1:27" x14ac:dyDescent="0.3">
      <c r="A74" t="s">
        <v>36</v>
      </c>
      <c r="B74" s="7">
        <f t="shared" si="11"/>
        <v>6.2398059967714442E-4</v>
      </c>
      <c r="C74" s="7">
        <f t="shared" si="10"/>
        <v>-1.4453556534354262E-3</v>
      </c>
      <c r="D74" s="7">
        <f t="shared" si="10"/>
        <v>7.226738790624132E-4</v>
      </c>
      <c r="E74" s="7">
        <f t="shared" si="10"/>
        <v>1.5605270978669844E-3</v>
      </c>
      <c r="F74" s="7">
        <f t="shared" si="10"/>
        <v>6.6502502959421908E-4</v>
      </c>
      <c r="G74" s="7">
        <f t="shared" si="10"/>
        <v>-9.4572519466771718E-4</v>
      </c>
      <c r="H74" s="7">
        <f t="shared" si="10"/>
        <v>3.5169824587046178E-3</v>
      </c>
      <c r="I74" s="7">
        <f t="shared" si="10"/>
        <v>-4.5189602361277691E-4</v>
      </c>
      <c r="J74" s="7">
        <f t="shared" si="10"/>
        <v>2.2068557900448149E-5</v>
      </c>
      <c r="K74" s="7">
        <f t="shared" si="10"/>
        <v>-7.3767586158897218E-5</v>
      </c>
      <c r="L74" s="7">
        <f t="shared" si="10"/>
        <v>7.208053622974539E-4</v>
      </c>
      <c r="M74" s="7">
        <f t="shared" si="10"/>
        <v>1.460779895086764E-2</v>
      </c>
      <c r="N74" s="7">
        <f t="shared" si="10"/>
        <v>4.3886807398111627E-3</v>
      </c>
      <c r="O74" s="7">
        <f t="shared" si="10"/>
        <v>-2.8132819634409424E-3</v>
      </c>
      <c r="P74" s="7">
        <f t="shared" si="10"/>
        <v>-2.6282233148037872E-2</v>
      </c>
      <c r="Q74" s="7">
        <f t="shared" si="10"/>
        <v>-9.9655137550812983E-4</v>
      </c>
      <c r="R74" s="7">
        <f t="shared" si="10"/>
        <v>1.0605323052237381E-3</v>
      </c>
      <c r="S74" s="7">
        <f t="shared" si="10"/>
        <v>-3.8592198701900386E-4</v>
      </c>
      <c r="T74" s="7">
        <f t="shared" si="10"/>
        <v>-9.4214603201718192E-4</v>
      </c>
      <c r="U74" s="7">
        <f t="shared" si="10"/>
        <v>-7.6290968612960364E-5</v>
      </c>
      <c r="V74" s="7">
        <f t="shared" si="10"/>
        <v>-6.1014553881250273E-2</v>
      </c>
      <c r="W74" s="7">
        <f t="shared" si="10"/>
        <v>1.6480206651407342E-3</v>
      </c>
      <c r="X74" s="7">
        <f t="shared" si="10"/>
        <v>5.8230655421015465E-4</v>
      </c>
      <c r="Y74" s="7">
        <f t="shared" si="10"/>
        <v>7.535177793416796E-2</v>
      </c>
    </row>
    <row r="77" spans="1:27" x14ac:dyDescent="0.3">
      <c r="A77" s="10" t="s">
        <v>53</v>
      </c>
      <c r="B77" s="11" t="s">
        <v>54</v>
      </c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7" x14ac:dyDescent="0.3">
      <c r="A78" s="1" t="s">
        <v>0</v>
      </c>
    </row>
    <row r="79" spans="1:27" x14ac:dyDescent="0.3">
      <c r="A79" t="s">
        <v>1</v>
      </c>
      <c r="B79" t="s">
        <v>2</v>
      </c>
      <c r="C79" t="s">
        <v>3</v>
      </c>
      <c r="D79" t="s">
        <v>4</v>
      </c>
      <c r="E79" t="s">
        <v>5</v>
      </c>
      <c r="F79" t="s">
        <v>6</v>
      </c>
      <c r="G79" t="s">
        <v>7</v>
      </c>
      <c r="H79" t="s">
        <v>8</v>
      </c>
      <c r="I79" t="s">
        <v>9</v>
      </c>
      <c r="J79" t="s">
        <v>10</v>
      </c>
      <c r="K79" t="s">
        <v>11</v>
      </c>
      <c r="L79" t="s">
        <v>12</v>
      </c>
      <c r="M79" t="s">
        <v>13</v>
      </c>
      <c r="N79" t="s">
        <v>14</v>
      </c>
      <c r="O79" t="s">
        <v>15</v>
      </c>
      <c r="P79" t="s">
        <v>16</v>
      </c>
      <c r="Q79" t="s">
        <v>17</v>
      </c>
      <c r="R79" t="s">
        <v>18</v>
      </c>
      <c r="S79" t="s">
        <v>19</v>
      </c>
      <c r="T79" t="s">
        <v>20</v>
      </c>
      <c r="U79" t="s">
        <v>21</v>
      </c>
      <c r="V79" t="s">
        <v>22</v>
      </c>
      <c r="W79" t="s">
        <v>23</v>
      </c>
      <c r="X79" t="s">
        <v>24</v>
      </c>
      <c r="Y79" t="s">
        <v>25</v>
      </c>
      <c r="Z79" t="s">
        <v>26</v>
      </c>
    </row>
    <row r="80" spans="1:27" x14ac:dyDescent="0.3">
      <c r="A80" t="s">
        <v>30</v>
      </c>
    </row>
    <row r="81" spans="1:27" x14ac:dyDescent="0.3">
      <c r="A81" t="s">
        <v>31</v>
      </c>
      <c r="B81" s="7">
        <f>(B4-B3)/B3</f>
        <v>0.13328259628713543</v>
      </c>
      <c r="C81" s="7">
        <f t="shared" ref="C81:Z84" si="12">(C4-C3)/C3</f>
        <v>6.7246167605479107E-2</v>
      </c>
      <c r="D81" s="7">
        <f t="shared" si="12"/>
        <v>2.0993426498088383</v>
      </c>
      <c r="E81" s="7">
        <f t="shared" si="12"/>
        <v>0.19535446234837975</v>
      </c>
      <c r="F81" s="7">
        <f t="shared" si="12"/>
        <v>-0.21044726913073739</v>
      </c>
      <c r="G81" s="7">
        <f t="shared" si="12"/>
        <v>-0.30248306997742663</v>
      </c>
      <c r="H81" s="7">
        <f t="shared" si="12"/>
        <v>-5.8342744054474101E-2</v>
      </c>
      <c r="I81" s="7">
        <f t="shared" si="12"/>
        <v>-0.24835790730788665</v>
      </c>
      <c r="J81" s="7">
        <f t="shared" si="12"/>
        <v>-0.16914067030035951</v>
      </c>
      <c r="K81" s="7">
        <f t="shared" si="12"/>
        <v>0.99827353655246831</v>
      </c>
      <c r="L81" s="7">
        <f t="shared" si="12"/>
        <v>0.26174221521482066</v>
      </c>
      <c r="M81" s="7">
        <f t="shared" si="12"/>
        <v>-0.19355861493533583</v>
      </c>
      <c r="N81" s="7">
        <f t="shared" si="12"/>
        <v>0.11077000996618033</v>
      </c>
      <c r="O81" s="7">
        <f t="shared" si="12"/>
        <v>0.59139680536000383</v>
      </c>
      <c r="P81" s="7">
        <f t="shared" si="12"/>
        <v>0.15687285439432616</v>
      </c>
      <c r="Q81" s="7">
        <f t="shared" si="12"/>
        <v>-0.42106223763460487</v>
      </c>
      <c r="R81" s="7">
        <f t="shared" si="12"/>
        <v>0.50470558489717943</v>
      </c>
      <c r="S81" s="7">
        <f t="shared" si="12"/>
        <v>-0.1924580699382468</v>
      </c>
      <c r="T81" s="7">
        <f t="shared" si="12"/>
        <v>-0.15870456225223409</v>
      </c>
      <c r="U81" s="7">
        <f t="shared" si="12"/>
        <v>-0.13519083924384784</v>
      </c>
      <c r="V81" s="7">
        <f t="shared" si="12"/>
        <v>0.42018172416340399</v>
      </c>
      <c r="W81" s="7">
        <f t="shared" si="12"/>
        <v>0.41292517450158694</v>
      </c>
      <c r="X81" s="7">
        <f t="shared" si="12"/>
        <v>2.1468138551031202</v>
      </c>
      <c r="Y81" s="7">
        <f t="shared" si="12"/>
        <v>0.1105007847053788</v>
      </c>
      <c r="Z81" s="7">
        <f t="shared" si="12"/>
        <v>0.3065542952652876</v>
      </c>
    </row>
    <row r="82" spans="1:27" x14ac:dyDescent="0.3">
      <c r="A82" t="s">
        <v>33</v>
      </c>
      <c r="B82" s="7">
        <f t="shared" ref="B82:Q84" si="13">(B5-B4)/B4</f>
        <v>-4.569896341492663E-2</v>
      </c>
      <c r="C82" s="7">
        <f t="shared" si="13"/>
        <v>7.7778496533311384E-2</v>
      </c>
      <c r="D82" s="7">
        <f t="shared" si="13"/>
        <v>-0.36958374016365531</v>
      </c>
      <c r="E82" s="7">
        <f t="shared" si="13"/>
        <v>6.6188067251897034E-2</v>
      </c>
      <c r="F82" s="7">
        <f t="shared" si="13"/>
        <v>1.1837245986823792</v>
      </c>
      <c r="G82" s="7">
        <f t="shared" si="13"/>
        <v>0.43096008629989213</v>
      </c>
      <c r="H82" s="7">
        <f t="shared" si="13"/>
        <v>-4.5916004702026857E-2</v>
      </c>
      <c r="I82" s="7">
        <f t="shared" si="13"/>
        <v>0.64067465167440718</v>
      </c>
      <c r="J82" s="7">
        <f t="shared" si="13"/>
        <v>-1.2771302952055273E-2</v>
      </c>
      <c r="K82" s="7">
        <f t="shared" si="13"/>
        <v>0.54878773151898053</v>
      </c>
      <c r="L82" s="7">
        <f t="shared" si="13"/>
        <v>5.0795991302826582E-2</v>
      </c>
      <c r="M82" s="7">
        <f t="shared" si="13"/>
        <v>0.16191077266895668</v>
      </c>
      <c r="N82" s="7">
        <f t="shared" si="13"/>
        <v>0.18478559840204509</v>
      </c>
      <c r="O82" s="7">
        <f t="shared" si="13"/>
        <v>-0.23567636829580815</v>
      </c>
      <c r="P82" s="7">
        <f t="shared" si="13"/>
        <v>0.17879736516011219</v>
      </c>
      <c r="Q82" s="7">
        <f t="shared" si="13"/>
        <v>0.18316519546027743</v>
      </c>
      <c r="R82" s="7">
        <f t="shared" si="12"/>
        <v>6.7744555324253428E-2</v>
      </c>
      <c r="S82" s="7">
        <f t="shared" si="12"/>
        <v>0.25665158371040725</v>
      </c>
      <c r="T82" s="7">
        <f t="shared" si="12"/>
        <v>8.0717727551047572E-2</v>
      </c>
      <c r="U82" s="7">
        <f t="shared" si="12"/>
        <v>0.20967774977977177</v>
      </c>
      <c r="V82" s="7">
        <f t="shared" si="12"/>
        <v>0.29840406667454783</v>
      </c>
      <c r="W82" s="7">
        <f t="shared" si="12"/>
        <v>0.53249844322977924</v>
      </c>
      <c r="X82" s="7">
        <f t="shared" si="12"/>
        <v>0.18664005881735113</v>
      </c>
      <c r="Y82" s="7">
        <f t="shared" si="12"/>
        <v>1.2877454444230316</v>
      </c>
      <c r="Z82" s="7">
        <f t="shared" si="12"/>
        <v>8.0905489601223526E-2</v>
      </c>
    </row>
    <row r="83" spans="1:27" x14ac:dyDescent="0.3">
      <c r="A83" t="s">
        <v>35</v>
      </c>
      <c r="B83" s="7">
        <f t="shared" si="13"/>
        <v>0.21439486091703278</v>
      </c>
      <c r="C83" s="7">
        <f t="shared" si="12"/>
        <v>8.8875611792244361E-2</v>
      </c>
      <c r="D83" s="7">
        <f t="shared" si="12"/>
        <v>0.19008853524599351</v>
      </c>
      <c r="E83" s="7">
        <f t="shared" si="12"/>
        <v>-0.12170224048786955</v>
      </c>
      <c r="F83" s="7">
        <f t="shared" si="12"/>
        <v>-5.7470043341548399E-2</v>
      </c>
      <c r="G83" s="7">
        <f t="shared" si="12"/>
        <v>-0.6268375424048247</v>
      </c>
      <c r="H83" s="7">
        <f t="shared" si="12"/>
        <v>0.2266900637196336</v>
      </c>
      <c r="I83" s="7">
        <f t="shared" si="12"/>
        <v>0.22387142431466031</v>
      </c>
      <c r="J83" s="7">
        <f t="shared" si="12"/>
        <v>0.17778877421179132</v>
      </c>
      <c r="K83" s="7">
        <f t="shared" si="12"/>
        <v>-0.79863677567812563</v>
      </c>
      <c r="L83" s="7">
        <f t="shared" si="12"/>
        <v>-0.12534040503739996</v>
      </c>
      <c r="M83" s="7">
        <f t="shared" si="12"/>
        <v>7.6855949635354984E-2</v>
      </c>
      <c r="N83" s="7">
        <f t="shared" si="12"/>
        <v>0.15272272218835778</v>
      </c>
      <c r="O83" s="7">
        <f t="shared" si="12"/>
        <v>3.4557138865604919</v>
      </c>
      <c r="P83" s="7">
        <f t="shared" si="12"/>
        <v>-6.7673610150580474E-2</v>
      </c>
      <c r="Q83" s="7">
        <f t="shared" si="12"/>
        <v>0.21502797761790568</v>
      </c>
      <c r="R83" s="7">
        <f t="shared" si="12"/>
        <v>4.2122748732295857E-2</v>
      </c>
      <c r="S83" s="7">
        <f t="shared" si="12"/>
        <v>-0.13434394354025636</v>
      </c>
      <c r="T83" s="7">
        <f t="shared" si="12"/>
        <v>-3.0791969454366302E-3</v>
      </c>
      <c r="U83" s="7">
        <f t="shared" si="12"/>
        <v>0.17097389694260037</v>
      </c>
      <c r="V83" s="7">
        <f t="shared" si="12"/>
        <v>-4.3229659844125573E-3</v>
      </c>
      <c r="W83" s="7">
        <f t="shared" si="12"/>
        <v>0.17538631944569857</v>
      </c>
      <c r="X83" s="7">
        <f t="shared" si="12"/>
        <v>0.1667020711630377</v>
      </c>
      <c r="Y83" s="7">
        <f t="shared" si="12"/>
        <v>-0.27639460876076377</v>
      </c>
      <c r="Z83" s="7">
        <f t="shared" si="12"/>
        <v>0.10526540532832376</v>
      </c>
    </row>
    <row r="84" spans="1:27" x14ac:dyDescent="0.3">
      <c r="A84" t="s">
        <v>36</v>
      </c>
      <c r="B84" s="7">
        <f t="shared" si="13"/>
        <v>-1.353896332352369E-2</v>
      </c>
      <c r="C84" s="7">
        <f t="shared" si="12"/>
        <v>0.11419036236949512</v>
      </c>
      <c r="D84" s="7">
        <f t="shared" si="12"/>
        <v>-0.22339243405316428</v>
      </c>
      <c r="E84" s="7">
        <f t="shared" si="12"/>
        <v>0.15984111221449851</v>
      </c>
      <c r="F84" s="7">
        <f t="shared" si="12"/>
        <v>0.12275995762234294</v>
      </c>
      <c r="G84" s="7">
        <f t="shared" si="12"/>
        <v>0.64444444444444449</v>
      </c>
      <c r="H84" s="7">
        <f t="shared" si="12"/>
        <v>0.25158521614739215</v>
      </c>
      <c r="I84" s="7">
        <f t="shared" si="12"/>
        <v>-0.20256554620570019</v>
      </c>
      <c r="J84" s="7">
        <f t="shared" si="12"/>
        <v>0.73549006662265171</v>
      </c>
      <c r="K84" s="7">
        <f t="shared" si="12"/>
        <v>1.0260583499264133</v>
      </c>
      <c r="L84" s="7">
        <f t="shared" si="12"/>
        <v>0.1093526940490272</v>
      </c>
      <c r="M84" s="7">
        <f t="shared" si="12"/>
        <v>0.62795620679390074</v>
      </c>
      <c r="N84" s="7">
        <f t="shared" si="12"/>
        <v>0.14577546776203343</v>
      </c>
      <c r="O84" s="7">
        <f t="shared" si="12"/>
        <v>-0.2629424253554184</v>
      </c>
      <c r="P84" s="7">
        <f t="shared" si="12"/>
        <v>-1</v>
      </c>
      <c r="Q84" s="7">
        <f t="shared" si="12"/>
        <v>-1</v>
      </c>
      <c r="R84" s="7">
        <f t="shared" si="12"/>
        <v>1.1732579405694726E-2</v>
      </c>
      <c r="S84" s="7">
        <f t="shared" si="12"/>
        <v>2.5622894222370119E-2</v>
      </c>
      <c r="T84" s="7">
        <f t="shared" si="12"/>
        <v>3.9411910056832221E-2</v>
      </c>
      <c r="U84" s="7">
        <f t="shared" si="12"/>
        <v>-7.7635454681315719E-2</v>
      </c>
      <c r="V84" s="7">
        <f t="shared" si="12"/>
        <v>-1</v>
      </c>
      <c r="W84" s="7">
        <f t="shared" si="12"/>
        <v>0.34892242924600775</v>
      </c>
      <c r="X84" s="7">
        <f t="shared" si="12"/>
        <v>4.032955528244344E-2</v>
      </c>
      <c r="Y84" s="7">
        <f t="shared" si="12"/>
        <v>4.217526839994826</v>
      </c>
      <c r="Z84" s="7">
        <f t="shared" si="12"/>
        <v>5.9690109385362865E-2</v>
      </c>
    </row>
    <row r="88" spans="1:27" x14ac:dyDescent="0.3">
      <c r="A88" s="1" t="s">
        <v>41</v>
      </c>
    </row>
    <row r="89" spans="1:27" x14ac:dyDescent="0.3">
      <c r="A89" t="s">
        <v>1</v>
      </c>
      <c r="B89" t="s">
        <v>2</v>
      </c>
      <c r="C89" t="s">
        <v>3</v>
      </c>
      <c r="D89" t="s">
        <v>4</v>
      </c>
      <c r="E89" t="s">
        <v>5</v>
      </c>
      <c r="F89" t="s">
        <v>6</v>
      </c>
      <c r="G89" t="s">
        <v>7</v>
      </c>
      <c r="H89" t="s">
        <v>8</v>
      </c>
      <c r="I89" t="s">
        <v>9</v>
      </c>
      <c r="J89" t="s">
        <v>10</v>
      </c>
      <c r="K89" t="s">
        <v>11</v>
      </c>
      <c r="L89" t="s">
        <v>12</v>
      </c>
      <c r="M89" t="s">
        <v>13</v>
      </c>
      <c r="N89" t="s">
        <v>14</v>
      </c>
      <c r="O89" t="s">
        <v>15</v>
      </c>
      <c r="P89" t="s">
        <v>16</v>
      </c>
      <c r="Q89" t="s">
        <v>17</v>
      </c>
      <c r="R89" t="s">
        <v>18</v>
      </c>
      <c r="S89" t="s">
        <v>19</v>
      </c>
      <c r="T89" t="s">
        <v>20</v>
      </c>
      <c r="U89" t="s">
        <v>21</v>
      </c>
      <c r="V89" t="s">
        <v>22</v>
      </c>
      <c r="W89" t="s">
        <v>23</v>
      </c>
      <c r="X89" t="s">
        <v>24</v>
      </c>
      <c r="Y89" t="s">
        <v>25</v>
      </c>
      <c r="Z89" t="s">
        <v>42</v>
      </c>
      <c r="AA89" t="s">
        <v>26</v>
      </c>
    </row>
    <row r="90" spans="1:27" x14ac:dyDescent="0.3">
      <c r="A90" t="s">
        <v>30</v>
      </c>
    </row>
    <row r="91" spans="1:27" x14ac:dyDescent="0.3">
      <c r="A91" t="s">
        <v>31</v>
      </c>
      <c r="B91" s="7">
        <f>(B14-B13)/B13</f>
        <v>0.1099447723829332</v>
      </c>
      <c r="C91" s="7">
        <f t="shared" ref="C91:AA94" si="14">(C14-C13)/C13</f>
        <v>8.7026076839416239E-2</v>
      </c>
      <c r="D91" s="7">
        <f t="shared" si="14"/>
        <v>1.6197663417746584</v>
      </c>
      <c r="E91" s="7">
        <f t="shared" si="14"/>
        <v>0.20292133901601359</v>
      </c>
      <c r="F91" s="7">
        <f t="shared" si="14"/>
        <v>-0.17802712527964207</v>
      </c>
      <c r="G91" s="7">
        <f t="shared" si="14"/>
        <v>-0.30337078651685395</v>
      </c>
      <c r="H91" s="7">
        <f t="shared" si="14"/>
        <v>-0.10294768802580809</v>
      </c>
      <c r="I91" s="7">
        <f t="shared" si="14"/>
        <v>-0.21239813462716095</v>
      </c>
      <c r="J91" s="7">
        <f t="shared" si="14"/>
        <v>-0.13654156113285748</v>
      </c>
      <c r="K91" s="7">
        <f t="shared" si="14"/>
        <v>1.032395498392283</v>
      </c>
      <c r="L91" s="7">
        <f t="shared" si="14"/>
        <v>0.29163402788657372</v>
      </c>
      <c r="M91" s="7">
        <f t="shared" si="14"/>
        <v>-0.20935180484030849</v>
      </c>
      <c r="N91" s="7">
        <f t="shared" si="14"/>
        <v>0.10845377976499948</v>
      </c>
      <c r="O91" s="7">
        <f t="shared" si="14"/>
        <v>1.0111250000000001</v>
      </c>
      <c r="P91" s="7">
        <f t="shared" si="14"/>
        <v>0.22907712745174649</v>
      </c>
      <c r="Q91" s="7">
        <f t="shared" si="14"/>
        <v>-0.62760282223369468</v>
      </c>
      <c r="R91" s="7">
        <f t="shared" si="14"/>
        <v>0.50856640796602726</v>
      </c>
      <c r="S91" s="7">
        <f t="shared" si="14"/>
        <v>-0.19289376760309093</v>
      </c>
      <c r="T91" s="7">
        <f t="shared" si="14"/>
        <v>-0.1779921178178801</v>
      </c>
      <c r="U91" s="7">
        <f t="shared" si="14"/>
        <v>7.5895620762233537E-2</v>
      </c>
      <c r="V91" s="7">
        <f t="shared" si="14"/>
        <v>0.33165001576099895</v>
      </c>
      <c r="W91" s="7">
        <f t="shared" si="14"/>
        <v>0.38187311560171167</v>
      </c>
      <c r="X91" s="7">
        <f t="shared" si="14"/>
        <v>2.4128843338213763</v>
      </c>
      <c r="Y91" s="7">
        <f t="shared" si="14"/>
        <v>0.10703385619987224</v>
      </c>
      <c r="Z91" s="7"/>
      <c r="AA91" s="7">
        <f t="shared" si="14"/>
        <v>0.27857633331641068</v>
      </c>
    </row>
    <row r="92" spans="1:27" x14ac:dyDescent="0.3">
      <c r="A92" t="s">
        <v>33</v>
      </c>
      <c r="B92" s="7">
        <f t="shared" ref="B92:Q94" si="15">(B15-B14)/B14</f>
        <v>-2.6571360075932152E-2</v>
      </c>
      <c r="C92" s="7">
        <f t="shared" si="15"/>
        <v>7.1537016246778856E-2</v>
      </c>
      <c r="D92" s="7">
        <f t="shared" si="15"/>
        <v>-0.2725214367898145</v>
      </c>
      <c r="E92" s="7">
        <f t="shared" si="15"/>
        <v>1.6573217295586667E-2</v>
      </c>
      <c r="F92" s="7">
        <f t="shared" si="15"/>
        <v>0.94909632149691692</v>
      </c>
      <c r="G92" s="7">
        <f t="shared" si="15"/>
        <v>0.42903225806451611</v>
      </c>
      <c r="H92" s="7">
        <f t="shared" si="15"/>
        <v>3.4234742446144627E-2</v>
      </c>
      <c r="I92" s="7">
        <f t="shared" si="15"/>
        <v>0.45586124401913874</v>
      </c>
      <c r="J92" s="7">
        <f t="shared" si="15"/>
        <v>6.6666666666666666E-2</v>
      </c>
      <c r="K92" s="7">
        <f t="shared" si="15"/>
        <v>2.6460467507811572E-2</v>
      </c>
      <c r="L92" s="7">
        <f t="shared" si="15"/>
        <v>4.2088665170719873E-2</v>
      </c>
      <c r="M92" s="7">
        <f t="shared" si="15"/>
        <v>0.17780767741014822</v>
      </c>
      <c r="N92" s="7">
        <f t="shared" si="15"/>
        <v>0.17447106364554771</v>
      </c>
      <c r="O92" s="7">
        <f t="shared" si="15"/>
        <v>-0.10631487351606687</v>
      </c>
      <c r="P92" s="7">
        <f t="shared" si="15"/>
        <v>7.9399391762299862E-2</v>
      </c>
      <c r="Q92" s="7">
        <f t="shared" si="15"/>
        <v>1.22181146025878</v>
      </c>
      <c r="R92" s="7">
        <f t="shared" si="14"/>
        <v>-4.3421989257749302E-2</v>
      </c>
      <c r="S92" s="7">
        <f t="shared" si="14"/>
        <v>0.27550107372942018</v>
      </c>
      <c r="T92" s="7">
        <f t="shared" si="14"/>
        <v>0.13432082565797773</v>
      </c>
      <c r="U92" s="7">
        <f t="shared" si="14"/>
        <v>0.32236948987328062</v>
      </c>
      <c r="V92" s="7">
        <f t="shared" si="14"/>
        <v>0.37870831541876609</v>
      </c>
      <c r="W92" s="7">
        <f t="shared" si="14"/>
        <v>0.4886104783599089</v>
      </c>
      <c r="X92" s="7">
        <f t="shared" si="14"/>
        <v>0.1218946218946219</v>
      </c>
      <c r="Y92" s="7">
        <f t="shared" si="14"/>
        <v>0.57829497125515594</v>
      </c>
      <c r="Z92" s="7"/>
      <c r="AA92" s="7">
        <f t="shared" si="14"/>
        <v>9.2656419459607356E-2</v>
      </c>
    </row>
    <row r="93" spans="1:27" x14ac:dyDescent="0.3">
      <c r="A93" t="s">
        <v>35</v>
      </c>
      <c r="B93" s="7">
        <f t="shared" si="15"/>
        <v>0.23028518008463927</v>
      </c>
      <c r="C93" s="7">
        <f t="shared" si="14"/>
        <v>0.11150920964773708</v>
      </c>
      <c r="D93" s="7">
        <f t="shared" si="14"/>
        <v>0.20428391994606426</v>
      </c>
      <c r="E93" s="7">
        <f t="shared" si="14"/>
        <v>-7.7725291681329689E-2</v>
      </c>
      <c r="F93" s="7">
        <f t="shared" si="14"/>
        <v>-0.18093949774180176</v>
      </c>
      <c r="G93" s="7">
        <f t="shared" si="14"/>
        <v>3.6493604213694505E-2</v>
      </c>
      <c r="H93" s="7">
        <f t="shared" si="14"/>
        <v>0.13498556850980659</v>
      </c>
      <c r="I93" s="7">
        <f t="shared" si="14"/>
        <v>0.45707008462739296</v>
      </c>
      <c r="J93" s="7">
        <f t="shared" si="14"/>
        <v>6.0812499999999999E-2</v>
      </c>
      <c r="K93" s="7">
        <f t="shared" si="14"/>
        <v>-0.65497842170160292</v>
      </c>
      <c r="L93" s="7">
        <f t="shared" si="14"/>
        <v>-9.9679916196240476E-2</v>
      </c>
      <c r="M93" s="7">
        <f t="shared" si="14"/>
        <v>8.0675032453483342E-2</v>
      </c>
      <c r="N93" s="7">
        <f t="shared" si="14"/>
        <v>0.15588769106564215</v>
      </c>
      <c r="O93" s="7">
        <f t="shared" si="14"/>
        <v>1.5769725632020031</v>
      </c>
      <c r="P93" s="7">
        <f t="shared" si="14"/>
        <v>6.1238514097227678E-2</v>
      </c>
      <c r="Q93" s="7">
        <f t="shared" si="14"/>
        <v>0.2913893510815308</v>
      </c>
      <c r="R93" s="7">
        <f t="shared" si="14"/>
        <v>0.17573979936989001</v>
      </c>
      <c r="S93" s="7">
        <f t="shared" si="14"/>
        <v>-0.10115748860049105</v>
      </c>
      <c r="T93" s="7">
        <f t="shared" si="14"/>
        <v>3.4481224417156078E-2</v>
      </c>
      <c r="U93" s="7">
        <f t="shared" si="14"/>
        <v>-9.2182788928646384E-2</v>
      </c>
      <c r="V93" s="7">
        <f t="shared" si="14"/>
        <v>-5.0659789624168693E-2</v>
      </c>
      <c r="W93" s="7">
        <f t="shared" si="14"/>
        <v>0.19989061064456756</v>
      </c>
      <c r="X93" s="7">
        <f t="shared" si="14"/>
        <v>0.20000695253159056</v>
      </c>
      <c r="Y93" s="7">
        <f t="shared" si="14"/>
        <v>9.4245091401489508E-3</v>
      </c>
      <c r="Z93" s="7"/>
      <c r="AA93" s="7">
        <f t="shared" si="14"/>
        <v>0.11067244314918917</v>
      </c>
    </row>
    <row r="94" spans="1:27" x14ac:dyDescent="0.3">
      <c r="A94" t="s">
        <v>36</v>
      </c>
      <c r="B94" s="7">
        <f t="shared" si="15"/>
        <v>-2.7498161614510991E-2</v>
      </c>
      <c r="C94" s="7">
        <f t="shared" si="14"/>
        <v>0.11330158730158731</v>
      </c>
      <c r="D94" s="7">
        <f t="shared" si="14"/>
        <v>-0.20728932005329909</v>
      </c>
      <c r="E94" s="7">
        <f t="shared" si="14"/>
        <v>3.1215374342341815E-2</v>
      </c>
      <c r="F94" s="7">
        <f t="shared" si="14"/>
        <v>0.26132125732551942</v>
      </c>
      <c r="G94" s="7">
        <f t="shared" si="14"/>
        <v>1.1386569872958259</v>
      </c>
      <c r="H94" s="7">
        <f t="shared" si="14"/>
        <v>9.0077191858311395E-2</v>
      </c>
      <c r="I94" s="7">
        <f t="shared" si="14"/>
        <v>-0.22480827788429006</v>
      </c>
      <c r="J94" s="7">
        <f t="shared" si="14"/>
        <v>0.71578389206386617</v>
      </c>
      <c r="K94" s="7">
        <f t="shared" si="14"/>
        <v>0.33917802099620281</v>
      </c>
      <c r="L94" s="7">
        <f t="shared" si="14"/>
        <v>2.4175511628808936E-2</v>
      </c>
      <c r="M94" s="7">
        <f t="shared" si="14"/>
        <v>6.7973604971490811E-2</v>
      </c>
      <c r="N94" s="7">
        <f t="shared" si="14"/>
        <v>0.12201762396467979</v>
      </c>
      <c r="O94" s="7">
        <f t="shared" si="14"/>
        <v>0.29248643834507326</v>
      </c>
      <c r="P94" s="7">
        <f t="shared" si="14"/>
        <v>9.1746683687628353E-2</v>
      </c>
      <c r="Q94" s="7">
        <f t="shared" si="14"/>
        <v>-0.27927202448059268</v>
      </c>
      <c r="R94" s="7">
        <f t="shared" si="14"/>
        <v>-1.780804464957237E-2</v>
      </c>
      <c r="S94" s="7">
        <f t="shared" si="14"/>
        <v>3.999843908530399E-2</v>
      </c>
      <c r="T94" s="7">
        <f t="shared" si="14"/>
        <v>5.1395638897251735E-3</v>
      </c>
      <c r="U94" s="7">
        <f t="shared" si="14"/>
        <v>9.2205500076123673E-2</v>
      </c>
      <c r="V94" s="7">
        <f t="shared" si="14"/>
        <v>1.1253580181297428E-2</v>
      </c>
      <c r="W94" s="7">
        <f t="shared" si="14"/>
        <v>0.34429289928706058</v>
      </c>
      <c r="X94" s="7">
        <f t="shared" si="14"/>
        <v>-3.4241019698725374E-2</v>
      </c>
      <c r="Y94" s="7">
        <f t="shared" si="14"/>
        <v>-7.0761677353580341E-2</v>
      </c>
      <c r="Z94" s="7"/>
      <c r="AA94" s="7">
        <f t="shared" si="14"/>
        <v>7.2422988540884026E-2</v>
      </c>
    </row>
  </sheetData>
  <mergeCells count="3">
    <mergeCell ref="B22:Z22"/>
    <mergeCell ref="B51:Z51"/>
    <mergeCell ref="B77:Z77"/>
  </mergeCells>
  <conditionalFormatting sqref="B25:B29">
    <cfRule type="top10" dxfId="62" priority="38" rank="1"/>
  </conditionalFormatting>
  <conditionalFormatting sqref="B34:B38">
    <cfRule type="top10" dxfId="61" priority="40" rank="1"/>
  </conditionalFormatting>
  <conditionalFormatting sqref="B43:Y48">
    <cfRule type="cellIs" dxfId="60" priority="39" operator="greaterThan">
      <formula>0.15</formula>
    </cfRule>
  </conditionalFormatting>
  <conditionalFormatting sqref="B54:Y54">
    <cfRule type="top10" dxfId="59" priority="14" rank="2"/>
  </conditionalFormatting>
  <conditionalFormatting sqref="B55:Y55">
    <cfRule type="top10" dxfId="58" priority="13" rank="2"/>
  </conditionalFormatting>
  <conditionalFormatting sqref="B56:Y56">
    <cfRule type="top10" dxfId="57" priority="12" rank="2"/>
  </conditionalFormatting>
  <conditionalFormatting sqref="B57:Y57">
    <cfRule type="top10" dxfId="56" priority="11" rank="2"/>
  </conditionalFormatting>
  <conditionalFormatting sqref="B58:Y58">
    <cfRule type="top10" dxfId="55" priority="10" rank="2"/>
  </conditionalFormatting>
  <conditionalFormatting sqref="B62:Y62">
    <cfRule type="top10" dxfId="54" priority="9" rank="2"/>
  </conditionalFormatting>
  <conditionalFormatting sqref="B63:Y63">
    <cfRule type="top10" dxfId="53" priority="8" rank="2"/>
  </conditionalFormatting>
  <conditionalFormatting sqref="B64:Y64">
    <cfRule type="top10" dxfId="52" priority="7" rank="2"/>
  </conditionalFormatting>
  <conditionalFormatting sqref="B65:Y65">
    <cfRule type="top10" dxfId="51" priority="6" rank="2"/>
  </conditionalFormatting>
  <conditionalFormatting sqref="B66:Y66">
    <cfRule type="top10" dxfId="50" priority="5" rank="2"/>
  </conditionalFormatting>
  <conditionalFormatting sqref="B81:Y84">
    <cfRule type="cellIs" dxfId="49" priority="3" operator="lessThan">
      <formula>-0.4</formula>
    </cfRule>
    <cfRule type="cellIs" dxfId="48" priority="4" operator="greaterThan">
      <formula>0.5</formula>
    </cfRule>
  </conditionalFormatting>
  <conditionalFormatting sqref="B91:Y94">
    <cfRule type="cellIs" dxfId="47" priority="1" operator="lessThan">
      <formula>-0.4</formula>
    </cfRule>
    <cfRule type="cellIs" dxfId="46" priority="2" operator="greaterThan">
      <formula>0.5</formula>
    </cfRule>
  </conditionalFormatting>
  <conditionalFormatting sqref="C25:C29">
    <cfRule type="top10" dxfId="45" priority="37" rank="1"/>
  </conditionalFormatting>
  <conditionalFormatting sqref="C34:C38">
    <cfRule type="top10" dxfId="44" priority="41" rank="1"/>
  </conditionalFormatting>
  <conditionalFormatting sqref="D25:D29">
    <cfRule type="top10" dxfId="43" priority="36" rank="1"/>
  </conditionalFormatting>
  <conditionalFormatting sqref="D34:D38">
    <cfRule type="top10" dxfId="42" priority="42" rank="1"/>
  </conditionalFormatting>
  <conditionalFormatting sqref="E25:E29">
    <cfRule type="top10" dxfId="41" priority="35" rank="1"/>
  </conditionalFormatting>
  <conditionalFormatting sqref="E34:E38">
    <cfRule type="top10" dxfId="40" priority="43" rank="1"/>
  </conditionalFormatting>
  <conditionalFormatting sqref="F25:F29">
    <cfRule type="top10" dxfId="39" priority="34" rank="1"/>
  </conditionalFormatting>
  <conditionalFormatting sqref="F34:F38">
    <cfRule type="top10" dxfId="38" priority="44" rank="1"/>
  </conditionalFormatting>
  <conditionalFormatting sqref="G25:G29">
    <cfRule type="top10" dxfId="37" priority="33" rank="1"/>
  </conditionalFormatting>
  <conditionalFormatting sqref="G34:G38">
    <cfRule type="top10" dxfId="36" priority="45" rank="1"/>
  </conditionalFormatting>
  <conditionalFormatting sqref="H25:H29">
    <cfRule type="top10" dxfId="35" priority="32" rank="1"/>
  </conditionalFormatting>
  <conditionalFormatting sqref="H34:H38">
    <cfRule type="top10" dxfId="34" priority="46" rank="1"/>
  </conditionalFormatting>
  <conditionalFormatting sqref="I26:I29">
    <cfRule type="top10" dxfId="33" priority="31" rank="1"/>
  </conditionalFormatting>
  <conditionalFormatting sqref="I34:I38">
    <cfRule type="top10" dxfId="32" priority="47" rank="1"/>
  </conditionalFormatting>
  <conditionalFormatting sqref="J25:J29">
    <cfRule type="top10" dxfId="31" priority="30" rank="1"/>
  </conditionalFormatting>
  <conditionalFormatting sqref="J34:J38">
    <cfRule type="top10" dxfId="30" priority="48" rank="1"/>
  </conditionalFormatting>
  <conditionalFormatting sqref="K25:K29">
    <cfRule type="top10" dxfId="29" priority="29" rank="1"/>
  </conditionalFormatting>
  <conditionalFormatting sqref="K34:K38">
    <cfRule type="top10" dxfId="28" priority="49" rank="1"/>
  </conditionalFormatting>
  <conditionalFormatting sqref="L25:L29">
    <cfRule type="top10" dxfId="27" priority="28" rank="1"/>
  </conditionalFormatting>
  <conditionalFormatting sqref="L34:L38">
    <cfRule type="top10" dxfId="26" priority="50" rank="1"/>
  </conditionalFormatting>
  <conditionalFormatting sqref="M25:M29">
    <cfRule type="top10" dxfId="25" priority="27" rank="1"/>
  </conditionalFormatting>
  <conditionalFormatting sqref="M34:M38">
    <cfRule type="top10" dxfId="24" priority="51" rank="1"/>
  </conditionalFormatting>
  <conditionalFormatting sqref="N25:N29">
    <cfRule type="top10" dxfId="23" priority="26" rank="1"/>
  </conditionalFormatting>
  <conditionalFormatting sqref="N34:N38">
    <cfRule type="top10" dxfId="22" priority="52" rank="1"/>
  </conditionalFormatting>
  <conditionalFormatting sqref="O25:O29">
    <cfRule type="top10" dxfId="21" priority="25" rank="1"/>
  </conditionalFormatting>
  <conditionalFormatting sqref="O34:O38">
    <cfRule type="top10" dxfId="20" priority="53" rank="1"/>
  </conditionalFormatting>
  <conditionalFormatting sqref="P25:P29">
    <cfRule type="top10" dxfId="19" priority="24" rank="1"/>
  </conditionalFormatting>
  <conditionalFormatting sqref="P34:P38">
    <cfRule type="top10" dxfId="18" priority="54" rank="1"/>
  </conditionalFormatting>
  <conditionalFormatting sqref="Q25:Q29">
    <cfRule type="top10" dxfId="17" priority="23" rank="1"/>
  </conditionalFormatting>
  <conditionalFormatting sqref="Q34:Q38">
    <cfRule type="top10" dxfId="16" priority="55" rank="1"/>
  </conditionalFormatting>
  <conditionalFormatting sqref="R25:R29">
    <cfRule type="top10" dxfId="15" priority="22" rank="1"/>
  </conditionalFormatting>
  <conditionalFormatting sqref="R34:R38">
    <cfRule type="top10" dxfId="14" priority="56" rank="1"/>
  </conditionalFormatting>
  <conditionalFormatting sqref="S25:S29">
    <cfRule type="top10" dxfId="13" priority="21" rank="1"/>
  </conditionalFormatting>
  <conditionalFormatting sqref="S34:S38">
    <cfRule type="top10" dxfId="12" priority="57" rank="1"/>
  </conditionalFormatting>
  <conditionalFormatting sqref="T25:T29">
    <cfRule type="top10" dxfId="11" priority="20" rank="1"/>
  </conditionalFormatting>
  <conditionalFormatting sqref="T34:T38">
    <cfRule type="top10" dxfId="10" priority="58" rank="1"/>
  </conditionalFormatting>
  <conditionalFormatting sqref="U25:U29">
    <cfRule type="top10" dxfId="9" priority="19" rank="1"/>
  </conditionalFormatting>
  <conditionalFormatting sqref="U34:U38">
    <cfRule type="top10" dxfId="8" priority="59" rank="1"/>
  </conditionalFormatting>
  <conditionalFormatting sqref="V25:V29">
    <cfRule type="top10" dxfId="7" priority="18" rank="1"/>
  </conditionalFormatting>
  <conditionalFormatting sqref="V34:V38">
    <cfRule type="top10" dxfId="6" priority="60" rank="1"/>
  </conditionalFormatting>
  <conditionalFormatting sqref="W25:W29">
    <cfRule type="top10" dxfId="5" priority="17" rank="1"/>
  </conditionalFormatting>
  <conditionalFormatting sqref="W34:W38">
    <cfRule type="top10" dxfId="4" priority="61" rank="1"/>
  </conditionalFormatting>
  <conditionalFormatting sqref="X25:X29">
    <cfRule type="top10" dxfId="3" priority="16" rank="1"/>
  </conditionalFormatting>
  <conditionalFormatting sqref="X34:X38">
    <cfRule type="top10" dxfId="2" priority="62" rank="1"/>
  </conditionalFormatting>
  <conditionalFormatting sqref="Y25:Y29">
    <cfRule type="top10" dxfId="1" priority="15" rank="1"/>
  </conditionalFormatting>
  <conditionalFormatting sqref="Y34:Y38">
    <cfRule type="top10" dxfId="0" priority="63" rank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Nishma</dc:creator>
  <cp:lastModifiedBy>Nishma</cp:lastModifiedBy>
  <dcterms:created xsi:type="dcterms:W3CDTF">2025-03-02T15:18:10Z</dcterms:created>
  <dcterms:modified xsi:type="dcterms:W3CDTF">2025-03-02T15:18:48Z</dcterms:modified>
</cp:coreProperties>
</file>